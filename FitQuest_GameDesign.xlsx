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Mode d'emploi" sheetId="1" state="visible" r:id="rId1"/>
    <sheet xmlns:r="http://schemas.openxmlformats.org/officeDocument/2006/relationships" name="🗺️ Zones" sheetId="2" state="visible" r:id="rId2"/>
    <sheet xmlns:r="http://schemas.openxmlformats.org/officeDocument/2006/relationships" name="👾 Boss" sheetId="3" state="visible" r:id="rId3"/>
    <sheet xmlns:r="http://schemas.openxmlformats.org/officeDocument/2006/relationships" name="⚔️ Armes" sheetId="4" state="visible" r:id="rId4"/>
    <sheet xmlns:r="http://schemas.openxmlformats.org/officeDocument/2006/relationships" name="🔮 Sorts" sheetId="5" state="visible" r:id="rId5"/>
    <sheet xmlns:r="http://schemas.openxmlformats.org/officeDocument/2006/relationships" name="🔨 Recettes Forgeron" sheetId="6" state="visible" r:id="rId6"/>
    <sheet xmlns:r="http://schemas.openxmlformats.org/officeDocument/2006/relationships" name="🧪 Recettes Sorcière" sheetId="7" state="visible" r:id="rId7"/>
    <sheet xmlns:r="http://schemas.openxmlformats.org/officeDocument/2006/relationships" name="🪨 Matériaux" sheetId="8" state="visible" r:id="rId8"/>
    <sheet xmlns:r="http://schemas.openxmlformats.org/officeDocument/2006/relationships" name="🌿 Ingrédients" sheetId="9" state="visible" r:id="rId9"/>
    <sheet xmlns:r="http://schemas.openxmlformats.org/officeDocument/2006/relationships" name="📈 Progression" sheetId="10" state="visible" r:id="rId10"/>
    <sheet xmlns:r="http://schemas.openxmlformats.org/officeDocument/2006/relationships" name="🏆 Records" sheetId="11" state="visible" r:id="rId11"/>
    <sheet xmlns:r="http://schemas.openxmlformats.org/officeDocument/2006/relationships" name="📊 Référence" sheetId="12" state="visible" r:id="rId12"/>
    <sheet xmlns:r="http://schemas.openxmlformats.org/officeDocument/2006/relationships" name="⚔️ Dégâts Comba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1">
    <font>
      <name val="Calibri"/>
      <family val="2"/>
      <color theme="1"/>
      <sz val="11"/>
      <scheme val="minor"/>
    </font>
    <font>
      <name val="Arial"/>
      <b val="1"/>
      <color rgb="00F8FAFC"/>
      <sz val="16"/>
    </font>
    <font>
      <name val="Arial"/>
      <b val="1"/>
      <color rgb="00F8FAFC"/>
      <sz val="10"/>
    </font>
    <font>
      <name val="Arial"/>
      <b val="1"/>
      <color rgb="000F172A"/>
      <sz val="9"/>
    </font>
    <font>
      <name val="Arial"/>
      <color rgb="000F172A"/>
      <sz val="9"/>
    </font>
    <font>
      <name val="Arial"/>
      <b val="1"/>
      <color rgb="00D1FAE5"/>
      <sz val="11"/>
    </font>
    <font>
      <name val="Arial"/>
      <b val="1"/>
      <color rgb="00EFF6FF"/>
      <sz val="9"/>
    </font>
    <font>
      <name val="Arial"/>
      <b val="1"/>
      <color rgb="00F8FAFC"/>
      <sz val="9"/>
    </font>
    <font>
      <name val="Arial"/>
      <color rgb="001E293B"/>
      <sz val="9"/>
    </font>
    <font>
      <name val="Arial"/>
      <b val="1"/>
      <color rgb="00F8FAFC"/>
      <sz val="14"/>
    </font>
    <font>
      <name val="Arial"/>
      <b val="1"/>
      <color rgb="00F8FAFC"/>
      <sz val="11"/>
    </font>
    <font>
      <name val="Arial"/>
      <b val="1"/>
      <color rgb="001E293B"/>
      <sz val="9"/>
    </font>
    <font>
      <name val="Arial"/>
      <i val="1"/>
      <color rgb="001E3A8A"/>
      <sz val="9"/>
    </font>
    <font>
      <name val="Arial"/>
      <b val="1"/>
      <color rgb="001E293B"/>
      <sz val="10"/>
    </font>
    <font>
      <name val="Arial"/>
      <i val="1"/>
      <color rgb="00475569"/>
      <sz val="9"/>
    </font>
    <font>
      <name val="Arial"/>
      <b val="1"/>
      <color rgb="00D97706"/>
      <sz val="9"/>
    </font>
    <font>
      <name val="Arial"/>
      <b val="1"/>
      <color rgb="00FEF3C7"/>
      <sz val="9"/>
    </font>
    <font>
      <name val="Arial"/>
      <b val="1"/>
      <color rgb="00065F46"/>
      <sz val="9"/>
    </font>
    <font>
      <name val="Arial"/>
      <color rgb="00475569"/>
      <sz val="9"/>
    </font>
    <font>
      <name val="Arial"/>
      <i val="1"/>
      <color rgb="00F8FAFC"/>
      <sz val="9"/>
    </font>
    <font>
      <name val="Arial"/>
      <b val="1"/>
      <color rgb="00F8FAFC"/>
      <sz val="15"/>
    </font>
    <font>
      <name val="Arial"/>
      <color rgb="001E3A8A"/>
      <sz val="9"/>
    </font>
    <font>
      <name val="Arial"/>
      <b val="1"/>
      <color rgb="00065F46"/>
      <sz val="10"/>
    </font>
    <font>
      <name val="Arial"/>
      <b val="1"/>
      <color rgb="004C1D95"/>
      <sz val="9"/>
    </font>
    <font>
      <name val="Arial"/>
      <b val="1"/>
      <color rgb="0092400E"/>
      <sz val="9"/>
    </font>
    <font>
      <name val="Arial"/>
      <b val="1"/>
      <color rgb="001E3A8A"/>
      <sz val="9"/>
    </font>
    <font>
      <name val="Arial"/>
      <i val="1"/>
      <color rgb="001E293B"/>
      <sz val="9"/>
    </font>
    <font>
      <name val="Arial"/>
      <b val="1"/>
      <color rgb="00991B1B"/>
      <sz val="9"/>
    </font>
    <font>
      <name val="Arial"/>
      <b val="1"/>
      <color rgb="00475569"/>
      <sz val="9"/>
    </font>
    <font>
      <name val="Arial"/>
      <b val="1"/>
      <color rgb="00065F46"/>
      <sz val="11"/>
    </font>
    <font>
      <name val="Arial"/>
      <i val="1"/>
      <color rgb="00065F46"/>
      <sz val="9"/>
    </font>
  </fonts>
  <fills count="30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40AF"/>
      </patternFill>
    </fill>
    <fill>
      <patternFill patternType="solid">
        <fgColor rgb="00334155"/>
      </patternFill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065F46"/>
      </patternFill>
    </fill>
    <fill>
      <patternFill patternType="solid">
        <fgColor rgb="001D4ED8"/>
      </patternFill>
    </fill>
    <fill>
      <patternFill patternType="solid">
        <fgColor rgb="001E293B"/>
      </patternFill>
    </fill>
    <fill>
      <patternFill patternType="solid">
        <fgColor rgb="00D1FAE5"/>
      </patternFill>
    </fill>
    <fill>
      <patternFill patternType="solid">
        <fgColor rgb="007F1D1D"/>
      </patternFill>
    </fill>
    <fill>
      <patternFill patternType="solid">
        <fgColor rgb="001E3A5F"/>
      </patternFill>
    </fill>
    <fill>
      <patternFill patternType="solid">
        <fgColor rgb="0014532D"/>
      </patternFill>
    </fill>
    <fill>
      <patternFill patternType="solid">
        <fgColor rgb="004A1D96"/>
      </patternFill>
    </fill>
    <fill>
      <patternFill patternType="solid">
        <fgColor rgb="00FFE4E6"/>
      </patternFill>
    </fill>
    <fill>
      <patternFill patternType="solid">
        <fgColor rgb="001E3A8A"/>
      </patternFill>
    </fill>
    <fill>
      <patternFill patternType="solid">
        <fgColor rgb="00DBEAFE"/>
      </patternFill>
    </fill>
    <fill>
      <patternFill patternType="solid">
        <fgColor rgb="004C1D95"/>
      </patternFill>
    </fill>
    <fill>
      <patternFill patternType="solid">
        <fgColor rgb="00EDE9FE"/>
      </patternFill>
    </fill>
    <fill>
      <patternFill patternType="solid">
        <fgColor rgb="0092400E"/>
      </patternFill>
    </fill>
    <fill>
      <patternFill patternType="solid">
        <fgColor rgb="00FEF3C7"/>
      </patternFill>
    </fill>
    <fill>
      <patternFill patternType="solid">
        <fgColor rgb="00D1F2EB"/>
      </patternFill>
    </fill>
    <fill>
      <patternFill patternType="solid">
        <fgColor rgb="00FDF2E9"/>
      </patternFill>
    </fill>
    <fill>
      <patternFill patternType="solid">
        <fgColor rgb="00D97706"/>
      </patternFill>
    </fill>
    <fill>
      <patternFill patternType="solid">
        <fgColor rgb="00FFF9C4"/>
      </patternFill>
    </fill>
    <fill>
      <patternFill patternType="solid">
        <fgColor rgb="00991B1B"/>
      </patternFill>
    </fill>
    <fill>
      <patternFill patternType="solid">
        <fgColor rgb="00FEE2E2"/>
      </patternFill>
    </fill>
    <fill>
      <patternFill patternType="solid">
        <fgColor rgb="00FEF9C3"/>
      </patternFill>
    </fill>
    <fill>
      <patternFill patternType="solid">
        <fgColor rgb="00ECFDF5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/>
    </xf>
    <xf numFmtId="0" fontId="4" fillId="6" borderId="1" pivotButton="0" quotePrefix="0" xfId="0"/>
    <xf numFmtId="0" fontId="4" fillId="5" borderId="1" pivotButton="0" quotePrefix="0" xfId="0"/>
    <xf numFmtId="0" fontId="8" fillId="10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 wrapText="1"/>
    </xf>
    <xf numFmtId="0" fontId="8" fillId="19" borderId="1" applyAlignment="1" pivotButton="0" quotePrefix="0" xfId="0">
      <alignment horizontal="left" vertical="center"/>
    </xf>
    <xf numFmtId="0" fontId="8" fillId="19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 wrapText="1"/>
    </xf>
    <xf numFmtId="0" fontId="8" fillId="17" borderId="1" applyAlignment="1" pivotButton="0" quotePrefix="0" xfId="0">
      <alignment horizontal="left" vertical="center"/>
    </xf>
    <xf numFmtId="0" fontId="8" fillId="17" borderId="1" applyAlignment="1" pivotButton="0" quotePrefix="0" xfId="0">
      <alignment horizontal="center" vertical="center"/>
    </xf>
    <xf numFmtId="0" fontId="8" fillId="22" borderId="1" applyAlignment="1" pivotButton="0" quotePrefix="0" xfId="0">
      <alignment horizontal="left" vertical="center"/>
    </xf>
    <xf numFmtId="0" fontId="8" fillId="22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 wrapText="1"/>
    </xf>
    <xf numFmtId="0" fontId="8" fillId="21" borderId="1" applyAlignment="1" pivotButton="0" quotePrefix="0" xfId="0">
      <alignment horizontal="left" vertical="center"/>
    </xf>
    <xf numFmtId="0" fontId="8" fillId="21" borderId="1" applyAlignment="1" pivotButton="0" quotePrefix="0" xfId="0">
      <alignment horizontal="center" vertical="center"/>
    </xf>
    <xf numFmtId="0" fontId="8" fillId="23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10" fillId="24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13" fillId="25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15" fillId="21" borderId="1" applyAlignment="1" pivotButton="0" quotePrefix="0" xfId="0">
      <alignment horizontal="center" vertical="center" wrapText="1"/>
    </xf>
    <xf numFmtId="0" fontId="11" fillId="21" borderId="1" applyAlignment="1" pivotButton="0" quotePrefix="0" xfId="0">
      <alignment horizontal="center" vertical="center" wrapText="1"/>
    </xf>
    <xf numFmtId="0" fontId="16" fillId="24" borderId="1" applyAlignment="1" pivotButton="0" quotePrefix="0" xfId="0">
      <alignment horizontal="center" vertical="center" wrapText="1"/>
    </xf>
    <xf numFmtId="0" fontId="10" fillId="18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left" vertical="center" wrapText="1"/>
    </xf>
    <xf numFmtId="0" fontId="18" fillId="5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  <xf numFmtId="0" fontId="19" fillId="9" borderId="0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20" fillId="2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center" vertical="center" wrapText="1"/>
    </xf>
    <xf numFmtId="0" fontId="10" fillId="26" borderId="1" applyAlignment="1" pivotButton="0" quotePrefix="0" xfId="0">
      <alignment horizontal="center" vertical="center" wrapText="1"/>
    </xf>
    <xf numFmtId="0" fontId="8" fillId="27" borderId="1" applyAlignment="1" pivotButton="0" quotePrefix="0" xfId="0">
      <alignment horizontal="left" vertical="center" wrapText="1"/>
    </xf>
    <xf numFmtId="0" fontId="12" fillId="27" borderId="1" applyAlignment="1" pivotButton="0" quotePrefix="0" xfId="0">
      <alignment horizontal="left" vertical="center" wrapText="1"/>
    </xf>
    <xf numFmtId="0" fontId="13" fillId="28" borderId="1" applyAlignment="1" pivotButton="0" quotePrefix="0" xfId="0">
      <alignment horizontal="center" vertical="center"/>
    </xf>
    <xf numFmtId="0" fontId="8" fillId="27" borderId="1" applyAlignment="1" pivotButton="0" quotePrefix="0" xfId="0">
      <alignment horizontal="center" vertical="center" wrapText="1"/>
    </xf>
    <xf numFmtId="0" fontId="14" fillId="27" borderId="1" applyAlignment="1" pivotButton="0" quotePrefix="0" xfId="0">
      <alignment horizontal="left" vertical="center" wrapText="1"/>
    </xf>
    <xf numFmtId="0" fontId="8" fillId="21" borderId="1" applyAlignment="1" pivotButton="0" quotePrefix="0" xfId="0">
      <alignment horizontal="left" vertical="center" wrapText="1"/>
    </xf>
    <xf numFmtId="0" fontId="12" fillId="21" borderId="1" applyAlignment="1" pivotButton="0" quotePrefix="0" xfId="0">
      <alignment horizontal="left" vertical="center" wrapText="1"/>
    </xf>
    <xf numFmtId="0" fontId="8" fillId="21" borderId="1" applyAlignment="1" pivotButton="0" quotePrefix="0" xfId="0">
      <alignment horizontal="center" vertical="center" wrapText="1"/>
    </xf>
    <xf numFmtId="0" fontId="14" fillId="21" borderId="1" applyAlignment="1" pivotButton="0" quotePrefix="0" xfId="0">
      <alignment horizontal="left" vertical="center" wrapText="1"/>
    </xf>
    <xf numFmtId="0" fontId="8" fillId="19" borderId="1" applyAlignment="1" pivotButton="0" quotePrefix="0" xfId="0">
      <alignment horizontal="left" vertical="center" wrapText="1"/>
    </xf>
    <xf numFmtId="0" fontId="12" fillId="19" borderId="1" applyAlignment="1" pivotButton="0" quotePrefix="0" xfId="0">
      <alignment horizontal="left" vertical="center" wrapText="1"/>
    </xf>
    <xf numFmtId="0" fontId="8" fillId="19" borderId="1" applyAlignment="1" pivotButton="0" quotePrefix="0" xfId="0">
      <alignment horizontal="center" vertical="center" wrapText="1"/>
    </xf>
    <xf numFmtId="0" fontId="14" fillId="19" borderId="1" applyAlignment="1" pivotButton="0" quotePrefix="0" xfId="0">
      <alignment horizontal="left" vertical="center" wrapText="1"/>
    </xf>
    <xf numFmtId="0" fontId="11" fillId="29" borderId="1" applyAlignment="1" pivotButton="0" quotePrefix="0" xfId="0">
      <alignment horizontal="left" vertical="center" wrapText="1"/>
    </xf>
    <xf numFmtId="0" fontId="21" fillId="29" borderId="1" applyAlignment="1" pivotButton="0" quotePrefix="0" xfId="0">
      <alignment horizontal="left" vertical="center" wrapText="1"/>
    </xf>
    <xf numFmtId="0" fontId="22" fillId="29" borderId="1" applyAlignment="1" pivotButton="0" quotePrefix="0" xfId="0">
      <alignment horizontal="center" vertical="center"/>
    </xf>
    <xf numFmtId="0" fontId="8" fillId="29" borderId="1" applyAlignment="1" pivotButton="0" quotePrefix="0" xfId="0">
      <alignment horizontal="center" vertical="center" wrapText="1"/>
    </xf>
    <xf numFmtId="0" fontId="14" fillId="29" borderId="1" applyAlignment="1" pivotButton="0" quotePrefix="0" xfId="0">
      <alignment horizontal="left" vertical="center" wrapText="1"/>
    </xf>
    <xf numFmtId="0" fontId="21" fillId="17" borderId="1" applyAlignment="1" pivotButton="0" quotePrefix="0" xfId="0">
      <alignment horizontal="left" vertical="center" wrapText="1"/>
    </xf>
    <xf numFmtId="0" fontId="23" fillId="19" borderId="1" applyAlignment="1" pivotButton="0" quotePrefix="0" xfId="0">
      <alignment horizontal="center" vertical="center" wrapText="1"/>
    </xf>
    <xf numFmtId="0" fontId="10" fillId="20" borderId="1" applyAlignment="1" pivotButton="0" quotePrefix="0" xfId="0">
      <alignment horizontal="center" vertical="center" wrapText="1"/>
    </xf>
    <xf numFmtId="0" fontId="24" fillId="21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25" fillId="6" borderId="1" applyAlignment="1" pivotButton="0" quotePrefix="0" xfId="0">
      <alignment horizontal="left" vertical="center" wrapText="1"/>
    </xf>
    <xf numFmtId="0" fontId="26" fillId="17" borderId="1" applyAlignment="1" pivotButton="0" quotePrefix="0" xfId="0">
      <alignment horizontal="center" vertical="center" wrapText="1"/>
    </xf>
    <xf numFmtId="0" fontId="25" fillId="5" borderId="1" applyAlignment="1" pivotButton="0" quotePrefix="0" xfId="0">
      <alignment horizontal="left" vertical="center" wrapText="1"/>
    </xf>
    <xf numFmtId="0" fontId="24" fillId="21" borderId="1" applyAlignment="1" pivotButton="0" quotePrefix="0" xfId="0">
      <alignment horizontal="left" vertical="center" wrapText="1"/>
    </xf>
    <xf numFmtId="0" fontId="17" fillId="29" borderId="1" applyAlignment="1" pivotButton="0" quotePrefix="0" xfId="0">
      <alignment horizontal="center" vertical="center" wrapText="1"/>
    </xf>
    <xf numFmtId="0" fontId="18" fillId="21" borderId="1" applyAlignment="1" pivotButton="0" quotePrefix="0" xfId="0">
      <alignment horizontal="center" vertical="center" wrapText="1"/>
    </xf>
    <xf numFmtId="0" fontId="27" fillId="27" borderId="1" applyAlignment="1" pivotButton="0" quotePrefix="0" xfId="0">
      <alignment horizontal="center" vertical="center" wrapText="1"/>
    </xf>
    <xf numFmtId="0" fontId="25" fillId="17" borderId="1" applyAlignment="1" pivotButton="0" quotePrefix="0" xfId="0">
      <alignment horizontal="left" vertical="center" wrapText="1"/>
    </xf>
    <xf numFmtId="0" fontId="8" fillId="17" borderId="1" applyAlignment="1" pivotButton="0" quotePrefix="0" xfId="0">
      <alignment horizontal="left" vertical="center" wrapText="1"/>
    </xf>
    <xf numFmtId="0" fontId="25" fillId="17" borderId="1" applyAlignment="1" pivotButton="0" quotePrefix="0" xfId="0">
      <alignment horizontal="center" vertical="center" wrapText="1"/>
    </xf>
    <xf numFmtId="0" fontId="8" fillId="17" borderId="1" applyAlignment="1" pivotButton="0" quotePrefix="0" xfId="0">
      <alignment horizontal="center" vertical="center" wrapText="1"/>
    </xf>
    <xf numFmtId="0" fontId="14" fillId="17" borderId="1" applyAlignment="1" pivotButton="0" quotePrefix="0" xfId="0">
      <alignment horizontal="left" vertical="center" wrapText="1"/>
    </xf>
    <xf numFmtId="0" fontId="18" fillId="17" borderId="1" applyAlignment="1" pivotButton="0" quotePrefix="0" xfId="0">
      <alignment horizontal="center" vertical="center" wrapText="1"/>
    </xf>
    <xf numFmtId="0" fontId="23" fillId="19" borderId="1" applyAlignment="1" pivotButton="0" quotePrefix="0" xfId="0">
      <alignment horizontal="left" vertical="center" wrapText="1"/>
    </xf>
    <xf numFmtId="0" fontId="28" fillId="19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center" vertical="center" wrapText="1"/>
    </xf>
    <xf numFmtId="0" fontId="27" fillId="27" borderId="1" applyAlignment="1" pivotButton="0" quotePrefix="0" xfId="0">
      <alignment horizontal="left" vertical="center" wrapText="1"/>
    </xf>
    <xf numFmtId="0" fontId="18" fillId="27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29" fillId="29" borderId="1" applyAlignment="1" pivotButton="0" quotePrefix="0" xfId="0">
      <alignment horizontal="left" vertical="center" wrapText="1"/>
    </xf>
    <xf numFmtId="0" fontId="30" fillId="2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172A"/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55" customWidth="1" min="3" max="3"/>
    <col width="40" customWidth="1" min="4" max="4"/>
    <col width="55" customWidth="1" min="5" max="5"/>
  </cols>
  <sheetData>
    <row r="1" ht="40" customHeight="1">
      <c r="A1" s="1" t="inlineStr">
        <is>
          <t>🎮 FitQuest — Game Design Master Sheet</t>
        </is>
      </c>
    </row>
    <row r="2" ht="24" customHeight="1">
      <c r="A2" s="2" t="inlineStr">
        <is>
          <t>Ce fichier est ton outil de configuration du jeu. Remplis les onglets puis transmets-les à Claude pour un import automatique.</t>
        </is>
      </c>
    </row>
    <row r="4" ht="24" customHeight="1">
      <c r="A4" s="3" t="inlineStr">
        <is>
          <t>Onglet</t>
        </is>
      </c>
      <c r="B4" s="3" t="inlineStr">
        <is>
          <t>Contenu</t>
        </is>
      </c>
      <c r="C4" s="3" t="inlineStr">
        <is>
          <t>Colonnes obligatoires</t>
        </is>
      </c>
      <c r="D4" s="3" t="inlineStr">
        <is>
          <t>Colonnes optionnelles</t>
        </is>
      </c>
      <c r="E4" s="3" t="inlineStr">
        <is>
          <t>Règles importantes</t>
        </is>
      </c>
    </row>
    <row r="5" ht="36" customHeight="1">
      <c r="A5" s="4" t="inlineStr">
        <is>
          <t>🗺️ Zones</t>
        </is>
      </c>
      <c r="B5" s="5" t="inlineStr">
        <is>
          <t>Zones du monde (Forêt, Marais, Caverne…)</t>
        </is>
      </c>
      <c r="C5" s="5" t="inlineStr">
        <is>
          <t>id, name, element, levelMin, levelMax, requiredLevel</t>
        </is>
      </c>
      <c r="D5" s="5" t="inlineStr">
        <is>
          <t>travelKm, themeColor, accent, desc, svgKey</t>
        </is>
      </c>
      <c r="E5" s="5" t="inlineStr">
        <is>
          <t>Chaque zone doit avoir un regionalBossId qui existe dans l'onglet Boss</t>
        </is>
      </c>
    </row>
    <row r="6" ht="36" customHeight="1">
      <c r="A6" s="6" t="inlineStr">
        <is>
          <t>👾 Boss</t>
        </is>
      </c>
      <c r="B6" s="7" t="inlineStr">
        <is>
          <t>Tous les ennemis &amp; boss régionaux</t>
        </is>
      </c>
      <c r="C6" s="7" t="inlineStr">
        <is>
          <t>id, name, level, rarity, type, element, hp_max, attack, defense, gold, xp, region</t>
        </is>
      </c>
      <c r="D6" s="7" t="inlineStr">
        <is>
          <t>isRegionalBoss, drops (1-3 drops max)</t>
        </is>
      </c>
      <c r="E6" s="7" t="inlineStr">
        <is>
          <t>id doit être unique. isRegionalBoss = TRUE/FALSE. drops_X_chance entre 0 et 1</t>
        </is>
      </c>
    </row>
    <row r="7" ht="36" customHeight="1">
      <c r="A7" s="4" t="inlineStr">
        <is>
          <t>⚔️ Armes</t>
        </is>
      </c>
      <c r="B7" s="5" t="inlineStr">
        <is>
          <t>Armes équipables par le joueur</t>
        </is>
      </c>
      <c r="C7" s="5" t="inlineStr">
        <is>
          <t>id, name, rarity, slot</t>
        </is>
      </c>
      <c r="D7" s="5" t="inlineStr">
        <is>
          <t>icon, desc, stats_force, stats_agility, stats_constitution, stats_defense</t>
        </is>
      </c>
      <c r="E7" s="5" t="inlineStr">
        <is>
          <t>slot doit être dans la liste Référence. stats = bonus de combat</t>
        </is>
      </c>
    </row>
    <row r="8" ht="36" customHeight="1">
      <c r="A8" s="6" t="inlineStr">
        <is>
          <t>🔮 Sorts</t>
        </is>
      </c>
      <c r="B8" s="7" t="inlineStr">
        <is>
          <t>Sorts utilisables en combat</t>
        </is>
      </c>
      <c r="C8" s="7" t="inlineStr">
        <is>
          <t>id, name, element, manaCost, effect, value</t>
        </is>
      </c>
      <c r="D8" s="7" t="inlineStr">
        <is>
          <t>icon, oncePerCombat, desc</t>
        </is>
      </c>
      <c r="E8" s="7" t="inlineStr">
        <is>
          <t>effect doit être dans la liste Référence. value = puissance du sort</t>
        </is>
      </c>
    </row>
    <row r="9" ht="36" customHeight="1">
      <c r="A9" s="4" t="inlineStr">
        <is>
          <t>🔨 Recettes Forgeron</t>
        </is>
      </c>
      <c r="B9" s="5" t="inlineStr">
        <is>
          <t>Recettes de fabrication d'armes</t>
        </is>
      </c>
      <c r="C9" s="5" t="inlineStr">
        <is>
          <t>weaponId, gold</t>
        </is>
      </c>
      <c r="D9" s="5" t="inlineStr">
        <is>
          <t>mat1_id → mat3_id, mat1_qty → mat3_qty</t>
        </is>
      </c>
      <c r="E9" s="5" t="inlineStr">
        <is>
          <t>weaponId doit exister dans l'onglet Armes. Les materials IDs dans Matériaux</t>
        </is>
      </c>
    </row>
    <row r="10" ht="36" customHeight="1">
      <c r="A10" s="6" t="inlineStr">
        <is>
          <t>🧪 Recettes Sorcière</t>
        </is>
      </c>
      <c r="B10" s="7" t="inlineStr">
        <is>
          <t>Potions et objets magiques craftables</t>
        </is>
      </c>
      <c r="C10" s="7" t="inlineStr">
        <is>
          <t>id, name, rarity, effect, gold</t>
        </is>
      </c>
      <c r="D10" s="7" t="inlineStr">
        <is>
          <t>icon, desc, ing1_id → ing2_id, ing1_qty → ing2_qty</t>
        </is>
      </c>
      <c r="E10" s="7" t="inlineStr">
        <is>
          <t>Les ingredient IDs doivent exister dans l'onglet Ingrédients</t>
        </is>
      </c>
    </row>
    <row r="11" ht="36" customHeight="1">
      <c r="A11" s="4" t="inlineStr">
        <is>
          <t>🪨 Matériaux</t>
        </is>
      </c>
      <c r="B11" s="5" t="inlineStr">
        <is>
          <t>Matières premières droppées par les boss</t>
        </is>
      </c>
      <c r="C11" s="5" t="inlineStr">
        <is>
          <t>id, name, rarity</t>
        </is>
      </c>
      <c r="D11" s="5" t="inlineStr">
        <is>
          <t>icon, desc</t>
        </is>
      </c>
      <c r="E11" s="5" t="inlineStr">
        <is>
          <t>id utilisé dans les drops (Boss) et recettes (Forgeron)</t>
        </is>
      </c>
    </row>
    <row r="12" ht="36" customHeight="1">
      <c r="A12" s="6" t="inlineStr">
        <is>
          <t>🌿 Ingrédients</t>
        </is>
      </c>
      <c r="B12" s="7" t="inlineStr">
        <is>
          <t>Ingrédients pour potions et recettes</t>
        </is>
      </c>
      <c r="C12" s="7" t="inlineStr">
        <is>
          <t>id, name, rarity</t>
        </is>
      </c>
      <c r="D12" s="7" t="inlineStr">
        <is>
          <t>icon, desc</t>
        </is>
      </c>
      <c r="E12" s="7" t="inlineStr">
        <is>
          <t>id utilisé dans les drops (Boss) et recettes (Sorcière)</t>
        </is>
      </c>
    </row>
    <row r="13" ht="36" customHeight="1">
      <c r="A13" s="4" t="inlineStr">
        <is>
          <t>📊 Référence</t>
        </is>
      </c>
      <c r="B13" s="5" t="inlineStr">
        <is>
          <t>Valeurs valides pour toutes les listes</t>
        </is>
      </c>
      <c r="C13" s="5" t="inlineStr">
        <is>
          <t>—</t>
        </is>
      </c>
      <c r="D13" s="5" t="inlineStr">
        <is>
          <t>—</t>
        </is>
      </c>
      <c r="E13" s="5" t="inlineStr">
        <is>
          <t>NE PAS MODIFIER cet onglet — utilisé pour les validations de données</t>
        </is>
      </c>
    </row>
    <row r="15" ht="30" customHeight="1">
      <c r="A15" s="8" t="inlineStr">
        <is>
          <t>🔁  WORKFLOW : 1) Configurer les onglets  →  2) Envoyer le fichier à Claude  →  3) Import automatique dans src/data/</t>
        </is>
      </c>
    </row>
    <row r="17" ht="22" customHeight="1">
      <c r="A17" s="9" t="inlineStr">
        <is>
          <t>💡 LÉGENDE DES COULEURS :   Fond vert pâle = valeur optionnelle   |   Fond jaune = attention, valeur importante   |   Fond bleu = liste déroulante</t>
        </is>
      </c>
    </row>
  </sheetData>
  <mergeCells count="4">
    <mergeCell ref="A15:H15"/>
    <mergeCell ref="A2:H2"/>
    <mergeCell ref="A17:H17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6A34A"/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10" customWidth="1" min="4" max="4"/>
    <col width="10" customWidth="1" min="5" max="5"/>
    <col width="13" customWidth="1" min="6" max="6"/>
    <col width="20" customWidth="1" min="7" max="7"/>
    <col width="20" customWidth="1" min="8" max="8"/>
    <col width="10" customWidth="1" min="9" max="9"/>
    <col width="12" customWidth="1" min="10" max="10"/>
    <col width="14" customWidth="1" min="11" max="11"/>
    <col width="14" customWidth="1" min="12" max="12"/>
    <col width="40" customWidth="1" min="13" max="13"/>
    <col width="14" customWidth="1" min="14" max="14"/>
  </cols>
  <sheetData>
    <row r="1" ht="36" customHeight="1">
      <c r="A1" s="10" t="inlineStr">
        <is>
          <t>Identifiant unique
(ex: foret)</t>
        </is>
      </c>
      <c r="B1" s="10" t="inlineStr">
        <is>
          <t>Nom affiché
(ex: Forêt de Débutant)</t>
        </is>
      </c>
      <c r="C1" s="10" t="inlineStr">
        <is>
          <t>Élément dominant
(fire/wind/water…)</t>
        </is>
      </c>
      <c r="D1" s="10" t="inlineStr">
        <is>
          <t>Niveau min
des boss</t>
        </is>
      </c>
      <c r="E1" s="10" t="inlineStr">
        <is>
          <t>Niveau max
des boss</t>
        </is>
      </c>
      <c r="F1" s="10" t="inlineStr">
        <is>
          <t>Niveau joueur
requis pour entrer</t>
        </is>
      </c>
      <c r="G1" s="10" t="inlineStr">
        <is>
          <t>ID boss régional
à vaincre avant</t>
        </is>
      </c>
      <c r="H1" s="10" t="inlineStr">
        <is>
          <t>ID du boss
régional de cette zone</t>
        </is>
      </c>
      <c r="I1" s="3" t="inlineStr">
        <is>
          <t>Distance
(km) pour voyager</t>
        </is>
      </c>
      <c r="J1" s="3" t="inlineStr">
        <is>
          <t>Coût en
pas pour entrer</t>
        </is>
      </c>
      <c r="K1" s="3" t="inlineStr">
        <is>
          <t>Couleur principale
(#hex)</t>
        </is>
      </c>
      <c r="L1" s="3" t="inlineStr">
        <is>
          <t>Couleur accent
(#hex)</t>
        </is>
      </c>
      <c r="M1" s="3" t="inlineStr">
        <is>
          <t>Description affichée
au joueur</t>
        </is>
      </c>
      <c r="N1" s="3" t="inlineStr">
        <is>
          <t>Clé du fond SVG
(forest/swamp/crystal…)</t>
        </is>
      </c>
    </row>
    <row r="2">
      <c r="A2" s="22" t="inlineStr">
        <is>
          <t>foret</t>
        </is>
      </c>
      <c r="B2" s="22" t="inlineStr">
        <is>
          <t>Forêt de Débutant</t>
        </is>
      </c>
      <c r="C2" s="22" t="inlineStr">
        <is>
          <t>wind</t>
        </is>
      </c>
      <c r="D2" s="23" t="n">
        <v>1</v>
      </c>
      <c r="E2" s="23" t="n">
        <v>15</v>
      </c>
      <c r="F2" s="23" t="n">
        <v>1</v>
      </c>
      <c r="G2" s="22" t="inlineStr"/>
      <c r="H2" s="22" t="inlineStr">
        <is>
          <t>wolf_king</t>
        </is>
      </c>
      <c r="I2" s="23" t="n">
        <v>0</v>
      </c>
      <c r="J2" s="23" t="n">
        <v>0</v>
      </c>
      <c r="K2" s="22" t="inlineStr">
        <is>
          <t>#22c55e</t>
        </is>
      </c>
      <c r="L2" s="22" t="inlineStr">
        <is>
          <t>#86efac</t>
        </is>
      </c>
      <c r="M2" s="22" t="inlineStr">
        <is>
          <t>Une forêt sombre et silencieuse. Les sentiers serpentent entre des arbres millénaires.</t>
        </is>
      </c>
      <c r="N2" s="22" t="inlineStr">
        <is>
          <t>forest</t>
        </is>
      </c>
    </row>
    <row r="3">
      <c r="A3" s="17" t="inlineStr">
        <is>
          <t>marais</t>
        </is>
      </c>
      <c r="B3" s="17" t="inlineStr">
        <is>
          <t>Marais des Ombres</t>
        </is>
      </c>
      <c r="C3" s="17" t="inlineStr">
        <is>
          <t>dark</t>
        </is>
      </c>
      <c r="D3" s="18" t="n">
        <v>16</v>
      </c>
      <c r="E3" s="18" t="n">
        <v>30</v>
      </c>
      <c r="F3" s="18" t="n">
        <v>12</v>
      </c>
      <c r="G3" s="17" t="inlineStr">
        <is>
          <t>wolf_king</t>
        </is>
      </c>
      <c r="H3" s="17" t="inlineStr">
        <is>
          <t>corrupted_dryad</t>
        </is>
      </c>
      <c r="I3" s="18" t="n">
        <v>2</v>
      </c>
      <c r="J3" s="18" t="n">
        <v>0</v>
      </c>
      <c r="K3" s="17" t="inlineStr">
        <is>
          <t>#a855f7</t>
        </is>
      </c>
      <c r="L3" s="17" t="inlineStr">
        <is>
          <t>#c084fc</t>
        </is>
      </c>
      <c r="M3" s="17" t="inlineStr">
        <is>
          <t>Brume violette et eaux stagnantes. Les ombres grouillent dans les roseaux.</t>
        </is>
      </c>
      <c r="N3" s="17" t="inlineStr">
        <is>
          <t>swamp</t>
        </is>
      </c>
    </row>
    <row r="4">
      <c r="A4" s="22" t="inlineStr">
        <is>
          <t>caverne</t>
        </is>
      </c>
      <c r="B4" s="22" t="inlineStr">
        <is>
          <t>Caverne de Cristal</t>
        </is>
      </c>
      <c r="C4" s="22" t="inlineStr">
        <is>
          <t>water</t>
        </is>
      </c>
      <c r="D4" s="23" t="n">
        <v>31</v>
      </c>
      <c r="E4" s="23" t="n">
        <v>50</v>
      </c>
      <c r="F4" s="23" t="n">
        <v>28</v>
      </c>
      <c r="G4" s="22" t="inlineStr">
        <is>
          <t>corrupted_dryad</t>
        </is>
      </c>
      <c r="H4" s="22" t="inlineStr"/>
      <c r="I4" s="23" t="n">
        <v>5</v>
      </c>
      <c r="J4" s="23" t="n">
        <v>0</v>
      </c>
      <c r="K4" s="22" t="inlineStr">
        <is>
          <t>#22d3ee</t>
        </is>
      </c>
      <c r="L4" s="22" t="inlineStr">
        <is>
          <t>#67e8f9</t>
        </is>
      </c>
      <c r="M4" s="22" t="inlineStr">
        <is>
          <t>Profondeurs scintillantes. Les cristaux résonnent d'une magie ancienne.</t>
        </is>
      </c>
      <c r="N4" s="22" t="inlineStr">
        <is>
          <t>crystal</t>
        </is>
      </c>
    </row>
  </sheetData>
  <dataValidations count="1">
    <dataValidation sqref="C2:C100" showDropDown="0" showInputMessage="0" showErrorMessage="1" allowBlank="1" errorTitle="Valeur invalide" error="Valeur non valide" type="list">
      <formula1>"fire,wind,water,dark,holy,earth,ice"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C2626"/>
    <outlinePr summaryBelow="1" summaryRight="1"/>
    <pageSetUpPr/>
  </sheetPr>
  <dimension ref="A1:A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8" customWidth="1" min="3" max="3"/>
    <col width="13" customWidth="1" min="4" max="4"/>
    <col width="14" customWidth="1" min="5" max="5"/>
    <col width="12" customWidth="1" min="6" max="6"/>
    <col width="18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38" customWidth="1" min="13" max="13"/>
    <col width="12" customWidth="1" min="14" max="14"/>
    <col width="10" customWidth="1" min="15" max="15"/>
    <col width="12" customWidth="1" min="16" max="16"/>
    <col width="16" customWidth="1" min="17" max="17"/>
    <col width="11" customWidth="1" min="18" max="18"/>
    <col width="9" customWidth="1" min="19" max="19"/>
    <col width="9" customWidth="1" min="20" max="20"/>
    <col width="12" customWidth="1" min="21" max="21"/>
    <col width="16" customWidth="1" min="22" max="22"/>
    <col width="11" customWidth="1" min="23" max="23"/>
    <col width="9" customWidth="1" min="24" max="24"/>
    <col width="9" customWidth="1" min="25" max="25"/>
    <col width="12" customWidth="1" min="26" max="26"/>
    <col width="16" customWidth="1" min="27" max="27"/>
    <col width="11" customWidth="1" min="28" max="28"/>
    <col width="9" customWidth="1" min="29" max="29"/>
    <col width="9" customWidth="1" min="30" max="30"/>
  </cols>
  <sheetData>
    <row r="1" ht="40" customHeight="1">
      <c r="A1" s="10" t="inlineStr">
        <is>
          <t>Identifiant unique
(snake_case)</t>
        </is>
      </c>
      <c r="B1" s="10" t="inlineStr">
        <is>
          <t>Nom affiché
(français)</t>
        </is>
      </c>
      <c r="C1" s="10" t="inlineStr">
        <is>
          <t>Niveau
du boss</t>
        </is>
      </c>
      <c r="D1" s="10" t="inlineStr">
        <is>
          <t>Rareté
(common→legendary)</t>
        </is>
      </c>
      <c r="E1" s="10" t="inlineStr">
        <is>
          <t>Type physique
(force/agility/endurance)</t>
        </is>
      </c>
      <c r="F1" s="10" t="inlineStr">
        <is>
          <t>Élément
(fire/wind…)</t>
        </is>
      </c>
      <c r="G1" s="10" t="inlineStr">
        <is>
          <t>Clé icône
(game-icons.net)</t>
        </is>
      </c>
      <c r="H1" s="11" t="inlineStr">
        <is>
          <t>PV
maximum</t>
        </is>
      </c>
      <c r="I1" s="11" t="inlineStr">
        <is>
          <t>Attaque
(dégâts/tour)</t>
        </is>
      </c>
      <c r="J1" s="11" t="inlineStr">
        <is>
          <t>Défense
(réduction)</t>
        </is>
      </c>
      <c r="K1" s="11" t="inlineStr">
        <is>
          <t>Or gagné
(victoire)</t>
        </is>
      </c>
      <c r="L1" s="11" t="inlineStr">
        <is>
          <t>XP gagné
(victoire)</t>
        </is>
      </c>
      <c r="M1" s="3" t="inlineStr">
        <is>
          <t>Description
affichée</t>
        </is>
      </c>
      <c r="N1" s="3" t="inlineStr">
        <is>
          <t>Région
(foret/marais…)</t>
        </is>
      </c>
      <c r="O1" s="3" t="inlineStr">
        <is>
          <t>Boss
régional ?</t>
        </is>
      </c>
      <c r="P1" s="12" t="inlineStr">
        <is>
          <t>Drop 1
Type</t>
        </is>
      </c>
      <c r="Q1" s="12" t="inlineStr">
        <is>
          <t>Drop 1
ID</t>
        </is>
      </c>
      <c r="R1" s="12" t="inlineStr">
        <is>
          <t>Drop 1
Chance (0-1)</t>
        </is>
      </c>
      <c r="S1" s="12" t="inlineStr">
        <is>
          <t>Drop 1
Qté min</t>
        </is>
      </c>
      <c r="T1" s="12" t="inlineStr">
        <is>
          <t>Drop 1
Qté max</t>
        </is>
      </c>
      <c r="U1" s="13" t="inlineStr">
        <is>
          <t>Drop 2
Type</t>
        </is>
      </c>
      <c r="V1" s="13" t="inlineStr">
        <is>
          <t>Drop 2
ID</t>
        </is>
      </c>
      <c r="W1" s="13" t="inlineStr">
        <is>
          <t>Drop 2
Chance (0-1)</t>
        </is>
      </c>
      <c r="X1" s="13" t="inlineStr">
        <is>
          <t>Drop 2
Qté min</t>
        </is>
      </c>
      <c r="Y1" s="13" t="inlineStr">
        <is>
          <t>Drop 2
Qté max</t>
        </is>
      </c>
      <c r="Z1" s="14" t="inlineStr">
        <is>
          <t>Drop 3
Type</t>
        </is>
      </c>
      <c r="AA1" s="14" t="inlineStr">
        <is>
          <t>Drop 3
ID</t>
        </is>
      </c>
      <c r="AB1" s="14" t="inlineStr">
        <is>
          <t>Drop 3
Chance (0-1)</t>
        </is>
      </c>
      <c r="AC1" s="14" t="inlineStr">
        <is>
          <t>Drop 3
Qté min</t>
        </is>
      </c>
      <c r="AD1" s="14" t="inlineStr">
        <is>
          <t>Drop 3
Qté max</t>
        </is>
      </c>
    </row>
    <row r="2">
      <c r="A2" s="15" t="inlineStr">
        <is>
          <t>goblin_woods</t>
        </is>
      </c>
      <c r="B2" s="15" t="inlineStr">
        <is>
          <t>Gobelin du Bois</t>
        </is>
      </c>
      <c r="C2" s="16" t="n">
        <v>2</v>
      </c>
      <c r="D2" s="15" t="inlineStr">
        <is>
          <t>common</t>
        </is>
      </c>
      <c r="E2" s="15" t="inlineStr">
        <is>
          <t>agility</t>
        </is>
      </c>
      <c r="F2" s="15" t="inlineStr">
        <is>
          <t>wind</t>
        </is>
      </c>
      <c r="G2" s="15" t="inlineStr">
        <is>
          <t>goblin-head</t>
        </is>
      </c>
      <c r="H2" s="16" t="n">
        <v>80</v>
      </c>
      <c r="I2" s="16" t="n">
        <v>8</v>
      </c>
      <c r="J2" s="16" t="n">
        <v>3</v>
      </c>
      <c r="K2" s="16" t="n">
        <v>12</v>
      </c>
      <c r="L2" s="16" t="n">
        <v>80</v>
      </c>
      <c r="M2" s="15" t="inlineStr">
        <is>
          <t>Petit, fourbe et puant.</t>
        </is>
      </c>
      <c r="N2" s="15" t="inlineStr">
        <is>
          <t>foret</t>
        </is>
      </c>
      <c r="O2" s="15" t="b">
        <v>0</v>
      </c>
      <c r="P2" s="15" t="inlineStr">
        <is>
          <t>material</t>
        </is>
      </c>
      <c r="Q2" s="15" t="inlineStr">
        <is>
          <t>wood_dark</t>
        </is>
      </c>
      <c r="R2" s="16" t="n">
        <v>0.7</v>
      </c>
      <c r="S2" s="16" t="n">
        <v>1</v>
      </c>
      <c r="T2" s="16" t="n">
        <v>2</v>
      </c>
      <c r="U2" s="15" t="inlineStr">
        <is>
          <t>ingredient</t>
        </is>
      </c>
      <c r="V2" s="15" t="inlineStr">
        <is>
          <t>moon_herb</t>
        </is>
      </c>
      <c r="W2" s="16" t="n">
        <v>0.3</v>
      </c>
      <c r="X2" s="16" t="n">
        <v>1</v>
      </c>
      <c r="Y2" s="16" t="n">
        <v>1</v>
      </c>
      <c r="Z2" s="15" t="inlineStr"/>
      <c r="AA2" s="15" t="inlineStr"/>
      <c r="AB2" s="16" t="n">
        <v>0</v>
      </c>
      <c r="AC2" s="16" t="n">
        <v>0</v>
      </c>
      <c r="AD2" s="16" t="n">
        <v>0</v>
      </c>
    </row>
    <row r="3">
      <c r="A3" s="17" t="inlineStr">
        <is>
          <t>wolf_alpha</t>
        </is>
      </c>
      <c r="B3" s="17" t="inlineStr">
        <is>
          <t>Loup Alpha</t>
        </is>
      </c>
      <c r="C3" s="18" t="n">
        <v>5</v>
      </c>
      <c r="D3" s="17" t="inlineStr">
        <is>
          <t>common</t>
        </is>
      </c>
      <c r="E3" s="17" t="inlineStr">
        <is>
          <t>agility</t>
        </is>
      </c>
      <c r="F3" s="17" t="inlineStr">
        <is>
          <t>wind</t>
        </is>
      </c>
      <c r="G3" s="17" t="inlineStr">
        <is>
          <t>wolf-howl</t>
        </is>
      </c>
      <c r="H3" s="18" t="n">
        <v>120</v>
      </c>
      <c r="I3" s="18" t="n">
        <v>14</v>
      </c>
      <c r="J3" s="18" t="n">
        <v>5</v>
      </c>
      <c r="K3" s="18" t="n">
        <v>20</v>
      </c>
      <c r="L3" s="18" t="n">
        <v>150</v>
      </c>
      <c r="M3" s="17" t="inlineStr">
        <is>
          <t>Le chef de la meute hurle dans la nuit.</t>
        </is>
      </c>
      <c r="N3" s="17" t="inlineStr">
        <is>
          <t>foret</t>
        </is>
      </c>
      <c r="O3" s="17" t="b">
        <v>0</v>
      </c>
      <c r="P3" s="17" t="inlineStr">
        <is>
          <t>material</t>
        </is>
      </c>
      <c r="Q3" s="17" t="inlineStr">
        <is>
          <t>wood_dark</t>
        </is>
      </c>
      <c r="R3" s="18" t="n">
        <v>0.5</v>
      </c>
      <c r="S3" s="18" t="n">
        <v>1</v>
      </c>
      <c r="T3" s="18" t="n">
        <v>2</v>
      </c>
      <c r="U3" s="17" t="inlineStr">
        <is>
          <t>material</t>
        </is>
      </c>
      <c r="V3" s="17" t="inlineStr">
        <is>
          <t>silver_fang</t>
        </is>
      </c>
      <c r="W3" s="18" t="n">
        <v>0.4</v>
      </c>
      <c r="X3" s="18" t="n">
        <v>1</v>
      </c>
      <c r="Y3" s="18" t="n">
        <v>1</v>
      </c>
      <c r="Z3" s="17" t="inlineStr">
        <is>
          <t>ingredient</t>
        </is>
      </c>
      <c r="AA3" s="17" t="inlineStr">
        <is>
          <t>wolf_blood</t>
        </is>
      </c>
      <c r="AB3" s="18" t="n">
        <v>0.3</v>
      </c>
      <c r="AC3" s="18" t="n">
        <v>1</v>
      </c>
      <c r="AD3" s="18" t="n">
        <v>1</v>
      </c>
    </row>
    <row r="4">
      <c r="A4" s="15" t="inlineStr">
        <is>
          <t>bear_brown</t>
        </is>
      </c>
      <c r="B4" s="15" t="inlineStr">
        <is>
          <t>Ours Brun</t>
        </is>
      </c>
      <c r="C4" s="16" t="n">
        <v>8</v>
      </c>
      <c r="D4" s="15" t="inlineStr">
        <is>
          <t>rare</t>
        </is>
      </c>
      <c r="E4" s="15" t="inlineStr">
        <is>
          <t>force</t>
        </is>
      </c>
      <c r="F4" s="15" t="inlineStr">
        <is>
          <t>wind</t>
        </is>
      </c>
      <c r="G4" s="15" t="inlineStr">
        <is>
          <t>bear-head</t>
        </is>
      </c>
      <c r="H4" s="16" t="n">
        <v>200</v>
      </c>
      <c r="I4" s="16" t="n">
        <v>22</v>
      </c>
      <c r="J4" s="16" t="n">
        <v>10</v>
      </c>
      <c r="K4" s="16" t="n">
        <v>35</v>
      </c>
      <c r="L4" s="16" t="n">
        <v>250</v>
      </c>
      <c r="M4" s="15" t="inlineStr">
        <is>
          <t>Massif. Lent. Dévastateur.</t>
        </is>
      </c>
      <c r="N4" s="15" t="inlineStr">
        <is>
          <t>foret</t>
        </is>
      </c>
      <c r="O4" s="15" t="b">
        <v>0</v>
      </c>
      <c r="P4" s="15" t="inlineStr">
        <is>
          <t>material</t>
        </is>
      </c>
      <c r="Q4" s="15" t="inlineStr">
        <is>
          <t>iron_raw</t>
        </is>
      </c>
      <c r="R4" s="16" t="n">
        <v>0.6</v>
      </c>
      <c r="S4" s="16" t="n">
        <v>1</v>
      </c>
      <c r="T4" s="16" t="n">
        <v>2</v>
      </c>
      <c r="U4" s="15" t="inlineStr">
        <is>
          <t>material</t>
        </is>
      </c>
      <c r="V4" s="15" t="inlineStr">
        <is>
          <t>silver_fang</t>
        </is>
      </c>
      <c r="W4" s="16" t="n">
        <v>0.3</v>
      </c>
      <c r="X4" s="16" t="n">
        <v>1</v>
      </c>
      <c r="Y4" s="16" t="n">
        <v>1</v>
      </c>
      <c r="Z4" s="15" t="inlineStr">
        <is>
          <t>ingredient</t>
        </is>
      </c>
      <c r="AA4" s="15" t="inlineStr">
        <is>
          <t>moon_herb</t>
        </is>
      </c>
      <c r="AB4" s="16" t="n">
        <v>0.4</v>
      </c>
      <c r="AC4" s="16" t="n">
        <v>1</v>
      </c>
      <c r="AD4" s="16" t="n">
        <v>2</v>
      </c>
    </row>
    <row r="5">
      <c r="A5" s="17" t="inlineStr">
        <is>
          <t>witch_woods</t>
        </is>
      </c>
      <c r="B5" s="17" t="inlineStr">
        <is>
          <t>Sorcier des Bois</t>
        </is>
      </c>
      <c r="C5" s="18" t="n">
        <v>12</v>
      </c>
      <c r="D5" s="17" t="inlineStr">
        <is>
          <t>rare</t>
        </is>
      </c>
      <c r="E5" s="17" t="inlineStr">
        <is>
          <t>endurance</t>
        </is>
      </c>
      <c r="F5" s="17" t="inlineStr">
        <is>
          <t>dark</t>
        </is>
      </c>
      <c r="G5" s="17" t="inlineStr">
        <is>
          <t>wizard-face</t>
        </is>
      </c>
      <c r="H5" s="18" t="n">
        <v>280</v>
      </c>
      <c r="I5" s="18" t="n">
        <v>30</v>
      </c>
      <c r="J5" s="18" t="n">
        <v>8</v>
      </c>
      <c r="K5" s="18" t="n">
        <v>50</v>
      </c>
      <c r="L5" s="18" t="n">
        <v>400</v>
      </c>
      <c r="M5" s="17" t="inlineStr">
        <is>
          <t>Ses incantations font frissonner les arbres.</t>
        </is>
      </c>
      <c r="N5" s="17" t="inlineStr">
        <is>
          <t>foret</t>
        </is>
      </c>
      <c r="O5" s="17" t="b">
        <v>0</v>
      </c>
      <c r="P5" s="17" t="inlineStr">
        <is>
          <t>material</t>
        </is>
      </c>
      <c r="Q5" s="17" t="inlineStr">
        <is>
          <t>rune_bone</t>
        </is>
      </c>
      <c r="R5" s="18" t="n">
        <v>0.6</v>
      </c>
      <c r="S5" s="18" t="n">
        <v>1</v>
      </c>
      <c r="T5" s="18" t="n">
        <v>2</v>
      </c>
      <c r="U5" s="17" t="inlineStr">
        <is>
          <t>material</t>
        </is>
      </c>
      <c r="V5" s="17" t="inlineStr">
        <is>
          <t>mana_crystal</t>
        </is>
      </c>
      <c r="W5" s="18" t="n">
        <v>0.2</v>
      </c>
      <c r="X5" s="18" t="n">
        <v>1</v>
      </c>
      <c r="Y5" s="18" t="n">
        <v>1</v>
      </c>
      <c r="Z5" s="17" t="inlineStr">
        <is>
          <t>ingredient</t>
        </is>
      </c>
      <c r="AA5" s="17" t="inlineStr">
        <is>
          <t>fairy_tear</t>
        </is>
      </c>
      <c r="AB5" s="18" t="n">
        <v>0.2</v>
      </c>
      <c r="AC5" s="18" t="n">
        <v>1</v>
      </c>
      <c r="AD5" s="18" t="n">
        <v>1</v>
      </c>
    </row>
    <row r="6">
      <c r="A6" s="15" t="inlineStr">
        <is>
          <t>wolf_king</t>
        </is>
      </c>
      <c r="B6" s="15" t="inlineStr">
        <is>
          <t>Roi des Loups</t>
        </is>
      </c>
      <c r="C6" s="16" t="n">
        <v>15</v>
      </c>
      <c r="D6" s="15" t="inlineStr">
        <is>
          <t>epic</t>
        </is>
      </c>
      <c r="E6" s="15" t="inlineStr">
        <is>
          <t>force</t>
        </is>
      </c>
      <c r="F6" s="15" t="inlineStr">
        <is>
          <t>wind</t>
        </is>
      </c>
      <c r="G6" s="15" t="inlineStr">
        <is>
          <t>wolverine-claws</t>
        </is>
      </c>
      <c r="H6" s="16" t="n">
        <v>450</v>
      </c>
      <c r="I6" s="16" t="n">
        <v>42</v>
      </c>
      <c r="J6" s="16" t="n">
        <v>15</v>
      </c>
      <c r="K6" s="16" t="n">
        <v>90</v>
      </c>
      <c r="L6" s="16" t="n">
        <v>600</v>
      </c>
      <c r="M6" s="15" t="inlineStr">
        <is>
          <t>Le seigneur de la forêt. Boss régional.</t>
        </is>
      </c>
      <c r="N6" s="15" t="inlineStr">
        <is>
          <t>foret</t>
        </is>
      </c>
      <c r="O6" s="15" t="b">
        <v>1</v>
      </c>
      <c r="P6" s="15" t="inlineStr">
        <is>
          <t>material</t>
        </is>
      </c>
      <c r="Q6" s="15" t="inlineStr">
        <is>
          <t>silver_fang</t>
        </is>
      </c>
      <c r="R6" s="16" t="n">
        <v>0.8</v>
      </c>
      <c r="S6" s="16" t="n">
        <v>2</v>
      </c>
      <c r="T6" s="16" t="n">
        <v>3</v>
      </c>
      <c r="U6" s="15" t="inlineStr">
        <is>
          <t>material</t>
        </is>
      </c>
      <c r="V6" s="15" t="inlineStr">
        <is>
          <t>mana_crystal</t>
        </is>
      </c>
      <c r="W6" s="16" t="n">
        <v>0.4</v>
      </c>
      <c r="X6" s="16" t="n">
        <v>1</v>
      </c>
      <c r="Y6" s="16" t="n">
        <v>2</v>
      </c>
      <c r="Z6" s="15" t="inlineStr">
        <is>
          <t>ingredient</t>
        </is>
      </c>
      <c r="AA6" s="15" t="inlineStr">
        <is>
          <t>wolf_blood</t>
        </is>
      </c>
      <c r="AB6" s="16" t="n">
        <v>0.5</v>
      </c>
      <c r="AC6" s="16" t="n">
        <v>1</v>
      </c>
      <c r="AD6" s="16" t="n">
        <v>2</v>
      </c>
    </row>
    <row r="7">
      <c r="A7" s="17" t="inlineStr">
        <is>
          <t>giant_boar</t>
        </is>
      </c>
      <c r="B7" s="17" t="inlineStr">
        <is>
          <t>Sanglier Géant</t>
        </is>
      </c>
      <c r="C7" s="18" t="n">
        <v>18</v>
      </c>
      <c r="D7" s="17" t="inlineStr">
        <is>
          <t>rare</t>
        </is>
      </c>
      <c r="E7" s="17" t="inlineStr">
        <is>
          <t>force</t>
        </is>
      </c>
      <c r="F7" s="17" t="inlineStr">
        <is>
          <t>dark</t>
        </is>
      </c>
      <c r="G7" s="17" t="inlineStr">
        <is>
          <t>boar-tusks</t>
        </is>
      </c>
      <c r="H7" s="18" t="n">
        <v>550</v>
      </c>
      <c r="I7" s="18" t="n">
        <v>48</v>
      </c>
      <c r="J7" s="18" t="n">
        <v>18</v>
      </c>
      <c r="K7" s="18" t="n">
        <v>110</v>
      </c>
      <c r="L7" s="18" t="n">
        <v>700</v>
      </c>
      <c r="M7" s="17" t="inlineStr">
        <is>
          <t>Sa charge fait trembler le sol.</t>
        </is>
      </c>
      <c r="N7" s="17" t="inlineStr">
        <is>
          <t>marais</t>
        </is>
      </c>
      <c r="O7" s="17" t="b">
        <v>0</v>
      </c>
      <c r="P7" s="17" t="inlineStr">
        <is>
          <t>material</t>
        </is>
      </c>
      <c r="Q7" s="17" t="inlineStr">
        <is>
          <t>iron_raw</t>
        </is>
      </c>
      <c r="R7" s="18" t="n">
        <v>0.7</v>
      </c>
      <c r="S7" s="18" t="n">
        <v>1</v>
      </c>
      <c r="T7" s="18" t="n">
        <v>3</v>
      </c>
      <c r="U7" s="17" t="inlineStr">
        <is>
          <t>material</t>
        </is>
      </c>
      <c r="V7" s="17" t="inlineStr">
        <is>
          <t>silver_fang</t>
        </is>
      </c>
      <c r="W7" s="18" t="n">
        <v>0.3</v>
      </c>
      <c r="X7" s="18" t="n">
        <v>1</v>
      </c>
      <c r="Y7" s="18" t="n">
        <v>2</v>
      </c>
      <c r="Z7" s="17" t="inlineStr"/>
      <c r="AA7" s="17" t="inlineStr"/>
      <c r="AB7" s="18" t="n">
        <v>0</v>
      </c>
      <c r="AC7" s="18" t="n">
        <v>0</v>
      </c>
      <c r="AD7" s="18" t="n">
        <v>0</v>
      </c>
    </row>
    <row r="8">
      <c r="A8" s="15" t="inlineStr">
        <is>
          <t>cursed_fairy</t>
        </is>
      </c>
      <c r="B8" s="15" t="inlineStr">
        <is>
          <t>Fée Maudite</t>
        </is>
      </c>
      <c r="C8" s="16" t="n">
        <v>22</v>
      </c>
      <c r="D8" s="15" t="inlineStr">
        <is>
          <t>epic</t>
        </is>
      </c>
      <c r="E8" s="15" t="inlineStr">
        <is>
          <t>agility</t>
        </is>
      </c>
      <c r="F8" s="15" t="inlineStr">
        <is>
          <t>dark</t>
        </is>
      </c>
      <c r="G8" s="15" t="inlineStr">
        <is>
          <t>fairy-wand</t>
        </is>
      </c>
      <c r="H8" s="16" t="n">
        <v>680</v>
      </c>
      <c r="I8" s="16" t="n">
        <v>58</v>
      </c>
      <c r="J8" s="16" t="n">
        <v>14</v>
      </c>
      <c r="K8" s="16" t="n">
        <v>150</v>
      </c>
      <c r="L8" s="16" t="n">
        <v>900</v>
      </c>
      <c r="M8" s="15" t="inlineStr">
        <is>
          <t>Ses ailes scintillent d'une lumière vénéneuse.</t>
        </is>
      </c>
      <c r="N8" s="15" t="inlineStr">
        <is>
          <t>marais</t>
        </is>
      </c>
      <c r="O8" s="15" t="b">
        <v>0</v>
      </c>
      <c r="P8" s="15" t="inlineStr">
        <is>
          <t>material</t>
        </is>
      </c>
      <c r="Q8" s="15" t="inlineStr">
        <is>
          <t>mana_crystal</t>
        </is>
      </c>
      <c r="R8" s="16" t="n">
        <v>0.5</v>
      </c>
      <c r="S8" s="16" t="n">
        <v>1</v>
      </c>
      <c r="T8" s="16" t="n">
        <v>2</v>
      </c>
      <c r="U8" s="15" t="inlineStr">
        <is>
          <t>ingredient</t>
        </is>
      </c>
      <c r="V8" s="15" t="inlineStr">
        <is>
          <t>fairy_tear</t>
        </is>
      </c>
      <c r="W8" s="16" t="n">
        <v>0.7</v>
      </c>
      <c r="X8" s="16" t="n">
        <v>1</v>
      </c>
      <c r="Y8" s="16" t="n">
        <v>2</v>
      </c>
      <c r="Z8" s="15" t="inlineStr"/>
      <c r="AA8" s="15" t="inlineStr"/>
      <c r="AB8" s="16" t="n">
        <v>0</v>
      </c>
      <c r="AC8" s="16" t="n">
        <v>0</v>
      </c>
      <c r="AD8" s="16" t="n">
        <v>0</v>
      </c>
    </row>
    <row r="9">
      <c r="A9" s="17" t="inlineStr">
        <is>
          <t>swamp_troll</t>
        </is>
      </c>
      <c r="B9" s="17" t="inlineStr">
        <is>
          <t>Troll des Marais</t>
        </is>
      </c>
      <c r="C9" s="18" t="n">
        <v>26</v>
      </c>
      <c r="D9" s="17" t="inlineStr">
        <is>
          <t>epic</t>
        </is>
      </c>
      <c r="E9" s="17" t="inlineStr">
        <is>
          <t>endurance</t>
        </is>
      </c>
      <c r="F9" s="17" t="inlineStr">
        <is>
          <t>dark</t>
        </is>
      </c>
      <c r="G9" s="17" t="inlineStr">
        <is>
          <t>troll</t>
        </is>
      </c>
      <c r="H9" s="18" t="n">
        <v>850</v>
      </c>
      <c r="I9" s="18" t="n">
        <v>65</v>
      </c>
      <c r="J9" s="18" t="n">
        <v>25</v>
      </c>
      <c r="K9" s="18" t="n">
        <v>190</v>
      </c>
      <c r="L9" s="18" t="n">
        <v>1100</v>
      </c>
      <c r="M9" s="17" t="inlineStr">
        <is>
          <t>Sa peau régénère plus vite que vos coups.</t>
        </is>
      </c>
      <c r="N9" s="17" t="inlineStr">
        <is>
          <t>marais</t>
        </is>
      </c>
      <c r="O9" s="17" t="b">
        <v>0</v>
      </c>
      <c r="P9" s="17" t="inlineStr">
        <is>
          <t>material</t>
        </is>
      </c>
      <c r="Q9" s="17" t="inlineStr">
        <is>
          <t>rune_bone</t>
        </is>
      </c>
      <c r="R9" s="18" t="n">
        <v>0.7</v>
      </c>
      <c r="S9" s="18" t="n">
        <v>1</v>
      </c>
      <c r="T9" s="18" t="n">
        <v>2</v>
      </c>
      <c r="U9" s="17" t="inlineStr">
        <is>
          <t>material</t>
        </is>
      </c>
      <c r="V9" s="17" t="inlineStr">
        <is>
          <t>iron_raw</t>
        </is>
      </c>
      <c r="W9" s="18" t="n">
        <v>0.5</v>
      </c>
      <c r="X9" s="18" t="n">
        <v>1</v>
      </c>
      <c r="Y9" s="18" t="n">
        <v>3</v>
      </c>
      <c r="Z9" s="17" t="inlineStr"/>
      <c r="AA9" s="17" t="inlineStr"/>
      <c r="AB9" s="18" t="n">
        <v>0</v>
      </c>
      <c r="AC9" s="18" t="n">
        <v>0</v>
      </c>
      <c r="AD9" s="18" t="n">
        <v>0</v>
      </c>
    </row>
    <row r="10">
      <c r="A10" s="15" t="inlineStr">
        <is>
          <t>corrupted_dryad</t>
        </is>
      </c>
      <c r="B10" s="15" t="inlineStr">
        <is>
          <t>Dryade Corrompue</t>
        </is>
      </c>
      <c r="C10" s="16" t="n">
        <v>30</v>
      </c>
      <c r="D10" s="15" t="inlineStr">
        <is>
          <t>legendary</t>
        </is>
      </c>
      <c r="E10" s="15" t="inlineStr">
        <is>
          <t>endurance</t>
        </is>
      </c>
      <c r="F10" s="15" t="inlineStr">
        <is>
          <t>dark</t>
        </is>
      </c>
      <c r="G10" s="15" t="inlineStr">
        <is>
          <t>gargoyle</t>
        </is>
      </c>
      <c r="H10" s="16" t="n">
        <v>1200</v>
      </c>
      <c r="I10" s="16" t="n">
        <v>80</v>
      </c>
      <c r="J10" s="16" t="n">
        <v>28</v>
      </c>
      <c r="K10" s="16" t="n">
        <v>280</v>
      </c>
      <c r="L10" s="16" t="n">
        <v>1500</v>
      </c>
      <c r="M10" s="15" t="inlineStr">
        <is>
          <t>L'âme tordue de la forêt elle-même. Boss régional.</t>
        </is>
      </c>
      <c r="N10" s="15" t="inlineStr">
        <is>
          <t>marais</t>
        </is>
      </c>
      <c r="O10" s="15" t="b">
        <v>1</v>
      </c>
      <c r="P10" s="15" t="inlineStr">
        <is>
          <t>material</t>
        </is>
      </c>
      <c r="Q10" s="15" t="inlineStr">
        <is>
          <t>mana_crystal</t>
        </is>
      </c>
      <c r="R10" s="16" t="n">
        <v>0.7</v>
      </c>
      <c r="S10" s="16" t="n">
        <v>2</v>
      </c>
      <c r="T10" s="16" t="n">
        <v>3</v>
      </c>
      <c r="U10" s="15" t="inlineStr">
        <is>
          <t>material</t>
        </is>
      </c>
      <c r="V10" s="15" t="inlineStr">
        <is>
          <t>rune_bone</t>
        </is>
      </c>
      <c r="W10" s="16" t="n">
        <v>0.5</v>
      </c>
      <c r="X10" s="16" t="n">
        <v>1</v>
      </c>
      <c r="Y10" s="16" t="n">
        <v>2</v>
      </c>
      <c r="Z10" s="15" t="inlineStr">
        <is>
          <t>ingredient</t>
        </is>
      </c>
      <c r="AA10" s="15" t="inlineStr">
        <is>
          <t>fairy_tear</t>
        </is>
      </c>
      <c r="AB10" s="16" t="n">
        <v>0.6</v>
      </c>
      <c r="AC10" s="16" t="n">
        <v>2</v>
      </c>
      <c r="AD10" s="16" t="n">
        <v>3</v>
      </c>
    </row>
  </sheetData>
  <dataValidations count="8">
    <dataValidation sqref="D2:D200" showDropDown="0" showInputMessage="0" showErrorMessage="1" allowBlank="1" errorTitle="Valeur invalide" error="Valeur non valide" type="list">
      <formula1>"common,rare,epic,legendary"</formula1>
    </dataValidation>
    <dataValidation sqref="E2:E200" showDropDown="0" showInputMessage="0" showErrorMessage="1" allowBlank="1" errorTitle="Valeur invalide" error="Valeur non valide" type="list">
      <formula1>"force,agility,endurance"</formula1>
    </dataValidation>
    <dataValidation sqref="F2:F200" showDropDown="0" showInputMessage="0" showErrorMessage="1" allowBlank="1" errorTitle="Valeur invalide" error="Valeur non valide" type="list">
      <formula1>"fire,wind,water,dark,holy,earth,ice"</formula1>
    </dataValidation>
    <dataValidation sqref="N2:N200" showDropDown="0" showInputMessage="0" showErrorMessage="1" allowBlank="1" errorTitle="Valeur invalide" error="Valeur non valide" type="list">
      <formula1>"foret,marais,caverne"</formula1>
    </dataValidation>
    <dataValidation sqref="O2:O200" showDropDown="0" showInputMessage="0" showErrorMessage="1" allowBlank="1" errorTitle="Valeur invalide" error="Valeur non valide" type="list">
      <formula1>"TRUE,FALSE"</formula1>
    </dataValidation>
    <dataValidation sqref="P2:P200" showDropDown="0" showInputMessage="0" showErrorMessage="1" allowBlank="1" errorTitle="Valeur invalide" error="Valeur non valide" type="list">
      <formula1>"material,ingredient"</formula1>
    </dataValidation>
    <dataValidation sqref="V2:V200" showDropDown="0" showInputMessage="0" showErrorMessage="1" allowBlank="1" errorTitle="Valeur invalide" error="Valeur non valide" type="list">
      <formula1>"material,ingredient"</formula1>
    </dataValidation>
    <dataValidation sqref="AB2:AB200" showDropDown="0" showInputMessage="0" showErrorMessage="1" allowBlank="1" errorTitle="Valeur invalide" error="Valeur non valide" type="list">
      <formula1>"material,ingredient"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563EB"/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4" customWidth="1" min="3" max="3"/>
    <col width="18" customWidth="1" min="4" max="4"/>
    <col width="18" customWidth="1" min="5" max="5"/>
    <col width="36" customWidth="1" min="6" max="6"/>
    <col width="9" customWidth="1" min="7" max="7"/>
    <col width="9" customWidth="1" min="8" max="8"/>
    <col width="13" customWidth="1" min="9" max="9"/>
    <col width="9" customWidth="1" min="10" max="10"/>
  </cols>
  <sheetData>
    <row r="1" ht="36" customHeight="1">
      <c r="A1" s="10" t="inlineStr">
        <is>
          <t>Identifiant unique
(snake_case)</t>
        </is>
      </c>
      <c r="B1" s="10" t="inlineStr">
        <is>
          <t>Nom affiché
(français)</t>
        </is>
      </c>
      <c r="C1" s="10" t="inlineStr">
        <is>
          <t>Rareté</t>
        </is>
      </c>
      <c r="D1" s="10" t="inlineStr">
        <is>
          <t>Clé icône</t>
        </is>
      </c>
      <c r="E1" s="10" t="inlineStr">
        <is>
          <t>Emplacement
(weapon_main…)</t>
        </is>
      </c>
      <c r="F1" s="10" t="inlineStr">
        <is>
          <t>Description</t>
        </is>
      </c>
      <c r="G1" s="27" t="inlineStr">
        <is>
          <t>Stat
Force</t>
        </is>
      </c>
      <c r="H1" s="27" t="inlineStr">
        <is>
          <t>Stat
Vitesse</t>
        </is>
      </c>
      <c r="I1" s="27" t="inlineStr">
        <is>
          <t>Stat
Constitution</t>
        </is>
      </c>
      <c r="J1" s="27" t="inlineStr">
        <is>
          <t>Stat
Défense</t>
        </is>
      </c>
    </row>
    <row r="2">
      <c r="A2" s="28" t="inlineStr">
        <is>
          <t>sword_rusty</t>
        </is>
      </c>
      <c r="B2" s="28" t="inlineStr">
        <is>
          <t>Épée Rouillée</t>
        </is>
      </c>
      <c r="C2" s="28" t="inlineStr">
        <is>
          <t>common</t>
        </is>
      </c>
      <c r="D2" s="28" t="inlineStr">
        <is>
          <t>broadsword</t>
        </is>
      </c>
      <c r="E2" s="28" t="inlineStr">
        <is>
          <t>weapon_main</t>
        </is>
      </c>
      <c r="F2" s="28" t="inlineStr">
        <is>
          <t>Une lame qui a connu mille batailles.</t>
        </is>
      </c>
      <c r="G2" s="29" t="n">
        <v>5</v>
      </c>
      <c r="H2" s="29" t="n">
        <v>0</v>
      </c>
      <c r="I2" s="29" t="n">
        <v>0</v>
      </c>
      <c r="J2" s="29" t="n">
        <v>0</v>
      </c>
    </row>
    <row r="3">
      <c r="A3" s="17" t="inlineStr">
        <is>
          <t>axe_woodcutter</t>
        </is>
      </c>
      <c r="B3" s="17" t="inlineStr">
        <is>
          <t>Hache de Bûcheron</t>
        </is>
      </c>
      <c r="C3" s="17" t="inlineStr">
        <is>
          <t>common</t>
        </is>
      </c>
      <c r="D3" s="17" t="inlineStr">
        <is>
          <t>battle-axe</t>
        </is>
      </c>
      <c r="E3" s="17" t="inlineStr">
        <is>
          <t>weapon_main</t>
        </is>
      </c>
      <c r="F3" s="17" t="inlineStr">
        <is>
          <t>Faite pour le bois, redoutable contre les chairs molles.</t>
        </is>
      </c>
      <c r="G3" s="18" t="n">
        <v>6</v>
      </c>
      <c r="H3" s="18" t="n">
        <v>0</v>
      </c>
      <c r="I3" s="18" t="n">
        <v>0</v>
      </c>
      <c r="J3" s="18" t="n">
        <v>0</v>
      </c>
    </row>
    <row r="4">
      <c r="A4" s="28" t="inlineStr">
        <is>
          <t>bow_hunter</t>
        </is>
      </c>
      <c r="B4" s="28" t="inlineStr">
        <is>
          <t>Arc du Chasseur</t>
        </is>
      </c>
      <c r="C4" s="28" t="inlineStr">
        <is>
          <t>rare</t>
        </is>
      </c>
      <c r="D4" s="28" t="inlineStr">
        <is>
          <t>pocket-bow</t>
        </is>
      </c>
      <c r="E4" s="28" t="inlineStr">
        <is>
          <t>weapon_secondary</t>
        </is>
      </c>
      <c r="F4" s="28" t="inlineStr">
        <is>
          <t>L'arme silencieuse des rôdeurs.</t>
        </is>
      </c>
      <c r="G4" s="29" t="n">
        <v>8</v>
      </c>
      <c r="H4" s="29" t="n">
        <v>3</v>
      </c>
      <c r="I4" s="29" t="n">
        <v>0</v>
      </c>
      <c r="J4" s="29" t="n">
        <v>0</v>
      </c>
    </row>
    <row r="5">
      <c r="A5" s="17" t="inlineStr">
        <is>
          <t>sword_knight</t>
        </is>
      </c>
      <c r="B5" s="17" t="inlineStr">
        <is>
          <t>Lame de Chevalier</t>
        </is>
      </c>
      <c r="C5" s="17" t="inlineStr">
        <is>
          <t>rare</t>
        </is>
      </c>
      <c r="D5" s="17" t="inlineStr">
        <is>
          <t>crossed-swords</t>
        </is>
      </c>
      <c r="E5" s="17" t="inlineStr">
        <is>
          <t>weapon_main</t>
        </is>
      </c>
      <c r="F5" s="17" t="inlineStr">
        <is>
          <t>Le serment d'un noble repose sur cette lame.</t>
        </is>
      </c>
      <c r="G5" s="18" t="n">
        <v>12</v>
      </c>
      <c r="H5" s="18" t="n">
        <v>0</v>
      </c>
      <c r="I5" s="18" t="n">
        <v>0</v>
      </c>
      <c r="J5" s="18" t="n">
        <v>0</v>
      </c>
    </row>
    <row r="6">
      <c r="A6" s="28" t="inlineStr">
        <is>
          <t>staff_druid</t>
        </is>
      </c>
      <c r="B6" s="28" t="inlineStr">
        <is>
          <t>Bâton du Druide</t>
        </is>
      </c>
      <c r="C6" s="28" t="inlineStr">
        <is>
          <t>epic</t>
        </is>
      </c>
      <c r="D6" s="28" t="inlineStr">
        <is>
          <t>wood-stick</t>
        </is>
      </c>
      <c r="E6" s="28" t="inlineStr">
        <is>
          <t>weapon_main</t>
        </is>
      </c>
      <c r="F6" s="28" t="inlineStr">
        <is>
          <t>Imprégné de la sagesse des anciens.</t>
        </is>
      </c>
      <c r="G6" s="29" t="n">
        <v>5</v>
      </c>
      <c r="H6" s="29" t="n">
        <v>0</v>
      </c>
      <c r="I6" s="29" t="n">
        <v>10</v>
      </c>
      <c r="J6" s="29" t="n">
        <v>0</v>
      </c>
    </row>
  </sheetData>
  <dataValidations count="2">
    <dataValidation sqref="C2:C200" showDropDown="0" showInputMessage="0" showErrorMessage="1" allowBlank="1" errorTitle="Valeur invalide" error="Valeur non valide" type="list">
      <formula1>"common,rare,epic,legendary"</formula1>
    </dataValidation>
    <dataValidation sqref="E2:E200" showDropDown="0" showInputMessage="0" showErrorMessage="1" allowBlank="1" errorTitle="Valeur invalide" error="Valeur non valide" type="list">
      <formula1>"weapon_main,weapon_secondary,armor,helmet,legs,cape,accessory_1,accessory_2"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C3AED"/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12" customWidth="1" min="4" max="4"/>
    <col width="10" customWidth="1" min="5" max="5"/>
    <col width="16" customWidth="1" min="6" max="6"/>
    <col width="13" customWidth="1" min="7" max="7"/>
    <col width="12" customWidth="1" min="8" max="8"/>
    <col width="38" customWidth="1" min="9" max="9"/>
  </cols>
  <sheetData>
    <row r="1" ht="36" customHeight="1">
      <c r="A1" s="10" t="inlineStr">
        <is>
          <t>Identifiant unique</t>
        </is>
      </c>
      <c r="B1" s="10" t="inlineStr">
        <is>
          <t>Nom affiché</t>
        </is>
      </c>
      <c r="C1" s="10" t="inlineStr">
        <is>
          <t>Clé icône</t>
        </is>
      </c>
      <c r="D1" s="10" t="inlineStr">
        <is>
          <t>Élément</t>
        </is>
      </c>
      <c r="E1" s="24" t="inlineStr">
        <is>
          <t>Coût
en mana</t>
        </is>
      </c>
      <c r="F1" s="24" t="inlineStr">
        <is>
          <t>Type d'effet</t>
        </is>
      </c>
      <c r="G1" s="24" t="inlineStr">
        <is>
          <t>Puissance
(PV ou dégâts)</t>
        </is>
      </c>
      <c r="H1" s="24" t="inlineStr">
        <is>
          <t>1× par
combat ?</t>
        </is>
      </c>
      <c r="I1" s="24" t="inlineStr">
        <is>
          <t>Description</t>
        </is>
      </c>
    </row>
    <row r="2">
      <c r="A2" s="25" t="inlineStr">
        <is>
          <t>fireball</t>
        </is>
      </c>
      <c r="B2" s="25" t="inlineStr">
        <is>
          <t>Boule de Feu</t>
        </is>
      </c>
      <c r="C2" s="25" t="inlineStr">
        <is>
          <t>fire-ball</t>
        </is>
      </c>
      <c r="D2" s="25" t="inlineStr">
        <is>
          <t>fire</t>
        </is>
      </c>
      <c r="E2" s="26" t="n">
        <v>20</v>
      </c>
      <c r="F2" s="25" t="inlineStr">
        <is>
          <t>damage_flat</t>
        </is>
      </c>
      <c r="G2" s="26" t="n">
        <v>30</v>
      </c>
      <c r="H2" s="25" t="b">
        <v>0</v>
      </c>
      <c r="I2" s="25" t="inlineStr">
        <is>
          <t>Une sphère ardente jaillit de tes paumes.</t>
        </is>
      </c>
    </row>
    <row r="3">
      <c r="A3" s="17" t="inlineStr">
        <is>
          <t>holy_light</t>
        </is>
      </c>
      <c r="B3" s="17" t="inlineStr">
        <is>
          <t>Lumière Sacrée</t>
        </is>
      </c>
      <c r="C3" s="17" t="inlineStr">
        <is>
          <t>sun-priest</t>
        </is>
      </c>
      <c r="D3" s="17" t="inlineStr">
        <is>
          <t>holy</t>
        </is>
      </c>
      <c r="E3" s="18" t="n">
        <v>25</v>
      </c>
      <c r="F3" s="17" t="inlineStr">
        <is>
          <t>heal_flat</t>
        </is>
      </c>
      <c r="G3" s="18" t="n">
        <v>60</v>
      </c>
      <c r="H3" s="17" t="b">
        <v>0</v>
      </c>
      <c r="I3" s="17" t="inlineStr">
        <is>
          <t>Un rayon doré t'enveloppe et guérit tes blessures.</t>
        </is>
      </c>
    </row>
    <row r="4">
      <c r="A4" s="25" t="inlineStr">
        <is>
          <t>wind_strike</t>
        </is>
      </c>
      <c r="B4" s="25" t="inlineStr">
        <is>
          <t>Trait de Vent</t>
        </is>
      </c>
      <c r="C4" s="25" t="inlineStr">
        <is>
          <t>wind-slap</t>
        </is>
      </c>
      <c r="D4" s="25" t="inlineStr">
        <is>
          <t>wind</t>
        </is>
      </c>
      <c r="E4" s="26" t="n">
        <v>15</v>
      </c>
      <c r="F4" s="25" t="inlineStr">
        <is>
          <t>damage_flat</t>
        </is>
      </c>
      <c r="G4" s="26" t="n">
        <v>20</v>
      </c>
      <c r="H4" s="25" t="b">
        <v>0</v>
      </c>
      <c r="I4" s="25" t="inlineStr">
        <is>
          <t>Un coup d'air tranchant et précis.</t>
        </is>
      </c>
    </row>
  </sheetData>
  <dataValidations count="3">
    <dataValidation sqref="D2:D200" showDropDown="0" showInputMessage="0" showErrorMessage="1" allowBlank="1" errorTitle="Valeur invalide" error="Valeur non valide" type="list">
      <formula1>"fire,wind,water,dark,holy,earth,ice"</formula1>
    </dataValidation>
    <dataValidation sqref="F2:F200" showDropDown="0" showInputMessage="0" showErrorMessage="1" allowBlank="1" errorTitle="Valeur invalide" error="Valeur non valide" type="list">
      <formula1>"damage_flat,heal_flat,damage_percent,shield,buff_force,buff_agility,buff_endurance,heal"</formula1>
    </dataValidation>
    <dataValidation sqref="H2:H200" showDropDown="0" showInputMessage="0" showErrorMessage="1" allowBlank="1" errorTitle="Valeur invalide" error="Valeur non valide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97706"/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8" customWidth="1" min="3" max="3"/>
    <col width="9" customWidth="1" min="4" max="4"/>
    <col width="18" customWidth="1" min="5" max="5"/>
    <col width="9" customWidth="1" min="6" max="6"/>
    <col width="18" customWidth="1" min="7" max="7"/>
    <col width="9" customWidth="1" min="8" max="8"/>
  </cols>
  <sheetData>
    <row r="1" ht="36" customHeight="1">
      <c r="A1" s="10" t="inlineStr">
        <is>
          <t>ID de l'arme
(doit exister onglet Armes)</t>
        </is>
      </c>
      <c r="B1" s="10" t="inlineStr">
        <is>
          <t>Coût
en or</t>
        </is>
      </c>
      <c r="C1" s="32" t="inlineStr">
        <is>
          <t>Matériau 1
ID</t>
        </is>
      </c>
      <c r="D1" s="32" t="inlineStr">
        <is>
          <t>Mat 1
Qté</t>
        </is>
      </c>
      <c r="E1" s="32" t="inlineStr">
        <is>
          <t>Matériau 2
ID</t>
        </is>
      </c>
      <c r="F1" s="32" t="inlineStr">
        <is>
          <t>Mat 2
Qté</t>
        </is>
      </c>
      <c r="G1" s="32" t="inlineStr">
        <is>
          <t>Matériau 3
ID</t>
        </is>
      </c>
      <c r="H1" s="32" t="inlineStr">
        <is>
          <t>Mat 3
Qté</t>
        </is>
      </c>
    </row>
    <row r="2">
      <c r="A2" s="33" t="inlineStr">
        <is>
          <t>sword_rusty</t>
        </is>
      </c>
      <c r="B2" s="34" t="n">
        <v>50</v>
      </c>
      <c r="C2" s="33" t="inlineStr">
        <is>
          <t>iron_raw</t>
        </is>
      </c>
      <c r="D2" s="34" t="n">
        <v>2</v>
      </c>
      <c r="E2" s="33" t="inlineStr">
        <is>
          <t>wood_dark</t>
        </is>
      </c>
      <c r="F2" s="34" t="n">
        <v>1</v>
      </c>
      <c r="G2" s="33" t="inlineStr"/>
      <c r="H2" s="34" t="n">
        <v>0</v>
      </c>
    </row>
    <row r="3">
      <c r="A3" s="17" t="inlineStr">
        <is>
          <t>axe_woodcutter</t>
        </is>
      </c>
      <c r="B3" s="18" t="n">
        <v>60</v>
      </c>
      <c r="C3" s="17" t="inlineStr">
        <is>
          <t>wood_dark</t>
        </is>
      </c>
      <c r="D3" s="18" t="n">
        <v>2</v>
      </c>
      <c r="E3" s="17" t="inlineStr">
        <is>
          <t>iron_raw</t>
        </is>
      </c>
      <c r="F3" s="18" t="n">
        <v>1</v>
      </c>
      <c r="G3" s="17" t="inlineStr"/>
      <c r="H3" s="18" t="n">
        <v>0</v>
      </c>
    </row>
    <row r="4">
      <c r="A4" s="33" t="inlineStr">
        <is>
          <t>bow_hunter</t>
        </is>
      </c>
      <c r="B4" s="34" t="n">
        <v>120</v>
      </c>
      <c r="C4" s="33" t="inlineStr">
        <is>
          <t>wood_dark</t>
        </is>
      </c>
      <c r="D4" s="34" t="n">
        <v>3</v>
      </c>
      <c r="E4" s="33" t="inlineStr">
        <is>
          <t>silver_fang</t>
        </is>
      </c>
      <c r="F4" s="34" t="n">
        <v>1</v>
      </c>
      <c r="G4" s="33" t="inlineStr"/>
      <c r="H4" s="34" t="n">
        <v>0</v>
      </c>
    </row>
    <row r="5">
      <c r="A5" s="17" t="inlineStr">
        <is>
          <t>sword_knight</t>
        </is>
      </c>
      <c r="B5" s="18" t="n">
        <v>200</v>
      </c>
      <c r="C5" s="17" t="inlineStr">
        <is>
          <t>silver_fang</t>
        </is>
      </c>
      <c r="D5" s="18" t="n">
        <v>3</v>
      </c>
      <c r="E5" s="17" t="inlineStr">
        <is>
          <t>iron_raw</t>
        </is>
      </c>
      <c r="F5" s="18" t="n">
        <v>2</v>
      </c>
      <c r="G5" s="17" t="inlineStr">
        <is>
          <t>rune_bone</t>
        </is>
      </c>
      <c r="H5" s="18" t="n">
        <v>1</v>
      </c>
    </row>
    <row r="6">
      <c r="A6" s="33" t="inlineStr">
        <is>
          <t>staff_druid</t>
        </is>
      </c>
      <c r="B6" s="34" t="n">
        <v>300</v>
      </c>
      <c r="C6" s="33" t="inlineStr">
        <is>
          <t>wood_dark</t>
        </is>
      </c>
      <c r="D6" s="34" t="n">
        <v>2</v>
      </c>
      <c r="E6" s="33" t="inlineStr">
        <is>
          <t>rune_bone</t>
        </is>
      </c>
      <c r="F6" s="34" t="n">
        <v>1</v>
      </c>
      <c r="G6" s="33" t="inlineStr">
        <is>
          <t>mana_crystal</t>
        </is>
      </c>
      <c r="H6" s="3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C3AED"/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12" customWidth="1" min="4" max="4"/>
    <col width="36" customWidth="1" min="5" max="5"/>
    <col width="16" customWidth="1" min="6" max="6"/>
    <col width="10" customWidth="1" min="7" max="7"/>
    <col width="18" customWidth="1" min="8" max="8"/>
    <col width="9" customWidth="1" min="9" max="9"/>
    <col width="18" customWidth="1" min="10" max="10"/>
    <col width="9" customWidth="1" min="11" max="11"/>
  </cols>
  <sheetData>
    <row r="1" ht="36" customHeight="1">
      <c r="A1" s="10" t="inlineStr">
        <is>
          <t>Identifiant
unique</t>
        </is>
      </c>
      <c r="B1" s="10" t="inlineStr">
        <is>
          <t>Nom affiché</t>
        </is>
      </c>
      <c r="C1" s="10" t="inlineStr">
        <is>
          <t>Clé icône</t>
        </is>
      </c>
      <c r="D1" s="10" t="inlineStr">
        <is>
          <t>Rareté</t>
        </is>
      </c>
      <c r="E1" s="10" t="inlineStr">
        <is>
          <t>Description</t>
        </is>
      </c>
      <c r="F1" s="10" t="inlineStr">
        <is>
          <t>Effet
(heal/damage…)</t>
        </is>
      </c>
      <c r="G1" s="10" t="inlineStr">
        <is>
          <t>Coût
en or</t>
        </is>
      </c>
      <c r="H1" s="24" t="inlineStr">
        <is>
          <t>Ingrédient 1
ID</t>
        </is>
      </c>
      <c r="I1" s="24" t="inlineStr">
        <is>
          <t>Ing 1
Qté</t>
        </is>
      </c>
      <c r="J1" s="24" t="inlineStr">
        <is>
          <t>Ingrédient 2
ID</t>
        </is>
      </c>
      <c r="K1" s="24" t="inlineStr">
        <is>
          <t>Ing 2
Qté</t>
        </is>
      </c>
    </row>
    <row r="2">
      <c r="A2" s="30" t="inlineStr">
        <is>
          <t>potion_heal</t>
        </is>
      </c>
      <c r="B2" s="30" t="inlineStr">
        <is>
          <t>Potion de soin</t>
        </is>
      </c>
      <c r="C2" s="30" t="inlineStr">
        <is>
          <t>standing-potion</t>
        </is>
      </c>
      <c r="D2" s="30" t="inlineStr">
        <is>
          <t>common</t>
        </is>
      </c>
      <c r="E2" s="30" t="inlineStr">
        <is>
          <t>+50 PV en combat.</t>
        </is>
      </c>
      <c r="F2" s="30" t="inlineStr">
        <is>
          <t>heal</t>
        </is>
      </c>
      <c r="G2" s="31" t="n">
        <v>0</v>
      </c>
      <c r="H2" s="30" t="inlineStr">
        <is>
          <t>moon_herb</t>
        </is>
      </c>
      <c r="I2" s="31" t="n">
        <v>2</v>
      </c>
      <c r="J2" s="30" t="inlineStr"/>
      <c r="K2" s="31" t="n">
        <v>0</v>
      </c>
    </row>
  </sheetData>
  <dataValidations count="2">
    <dataValidation sqref="D2:D200" showDropDown="0" showInputMessage="0" showErrorMessage="1" allowBlank="1" errorTitle="Valeur invalide" error="Valeur non valide" type="list">
      <formula1>"common,rare,epic,legendary"</formula1>
    </dataValidation>
    <dataValidation sqref="F2:F200" showDropDown="0" showInputMessage="0" showErrorMessage="1" allowBlank="1" errorTitle="Valeur invalide" error="Valeur non valide" type="list">
      <formula1>"damage_flat,heal_flat,damage_percent,shield,buff_force,buff_agility,buff_endurance,heal"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8716C"/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4" customWidth="1" min="3" max="3"/>
    <col width="20" customWidth="1" min="4" max="4"/>
    <col width="40" customWidth="1" min="5" max="5"/>
  </cols>
  <sheetData>
    <row r="1" ht="36" customHeight="1">
      <c r="A1" s="10" t="inlineStr">
        <is>
          <t>Identifiant unique
(utilisé dans Boss &gt; drops)</t>
        </is>
      </c>
      <c r="B1" s="10" t="inlineStr">
        <is>
          <t>Nom affiché</t>
        </is>
      </c>
      <c r="C1" s="10" t="inlineStr">
        <is>
          <t>Rareté</t>
        </is>
      </c>
      <c r="D1" s="10" t="inlineStr">
        <is>
          <t>Clé icône
(optionnel)</t>
        </is>
      </c>
      <c r="E1" s="10" t="inlineStr">
        <is>
          <t>Description
(optionnel)</t>
        </is>
      </c>
    </row>
    <row r="2">
      <c r="A2" s="35" t="inlineStr">
        <is>
          <t>wood_dark</t>
        </is>
      </c>
      <c r="B2" s="35" t="inlineStr">
        <is>
          <t>Bois sombre</t>
        </is>
      </c>
      <c r="C2" s="35" t="inlineStr">
        <is>
          <t>common</t>
        </is>
      </c>
      <c r="D2" s="35" t="inlineStr">
        <is>
          <t>wood-pile</t>
        </is>
      </c>
      <c r="E2" s="35" t="inlineStr">
        <is>
          <t>Bois noirci par les ombres de la forêt.</t>
        </is>
      </c>
    </row>
    <row r="3">
      <c r="A3" s="17" t="inlineStr">
        <is>
          <t>iron_raw</t>
        </is>
      </c>
      <c r="B3" s="17" t="inlineStr">
        <is>
          <t>Fer brut</t>
        </is>
      </c>
      <c r="C3" s="17" t="inlineStr">
        <is>
          <t>common</t>
        </is>
      </c>
      <c r="D3" s="17" t="inlineStr">
        <is>
          <t>metal-bar</t>
        </is>
      </c>
      <c r="E3" s="17" t="inlineStr">
        <is>
          <t>Lourd et tranchant à l'état brut.</t>
        </is>
      </c>
    </row>
    <row r="4">
      <c r="A4" s="35" t="inlineStr">
        <is>
          <t>silver_fang</t>
        </is>
      </c>
      <c r="B4" s="35" t="inlineStr">
        <is>
          <t>Crocs argentés</t>
        </is>
      </c>
      <c r="C4" s="35" t="inlineStr">
        <is>
          <t>rare</t>
        </is>
      </c>
      <c r="D4" s="35" t="inlineStr">
        <is>
          <t>animal-skull</t>
        </is>
      </c>
      <c r="E4" s="35" t="inlineStr">
        <is>
          <t>Crocs prélevés sur des bêtes féroces.</t>
        </is>
      </c>
    </row>
    <row r="5">
      <c r="A5" s="17" t="inlineStr">
        <is>
          <t>rune_bone</t>
        </is>
      </c>
      <c r="B5" s="17" t="inlineStr">
        <is>
          <t>Os runique</t>
        </is>
      </c>
      <c r="C5" s="17" t="inlineStr">
        <is>
          <t>rare</t>
        </is>
      </c>
      <c r="D5" s="17" t="inlineStr">
        <is>
          <t>bone-knife</t>
        </is>
      </c>
      <c r="E5" s="17" t="inlineStr">
        <is>
          <t>Os gravé de symboles anciens.</t>
        </is>
      </c>
    </row>
    <row r="6">
      <c r="A6" s="35" t="inlineStr">
        <is>
          <t>mana_crystal</t>
        </is>
      </c>
      <c r="B6" s="35" t="inlineStr">
        <is>
          <t>Cristal de mana</t>
        </is>
      </c>
      <c r="C6" s="35" t="inlineStr">
        <is>
          <t>epic</t>
        </is>
      </c>
      <c r="D6" s="35" t="inlineStr">
        <is>
          <t>crystal-cluster</t>
        </is>
      </c>
      <c r="E6" s="35" t="inlineStr">
        <is>
          <t>Concentré pur d'énergie magique.</t>
        </is>
      </c>
    </row>
  </sheetData>
  <dataValidations count="1">
    <dataValidation sqref="C2:C200" showDropDown="0" showInputMessage="0" showErrorMessage="1" allowBlank="1" errorTitle="Valeur invalide" error="Valeur non valide" type="list">
      <formula1>"common,rare,epic,legendary"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6A34A"/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14" customWidth="1" min="3" max="3"/>
    <col width="20" customWidth="1" min="4" max="4"/>
    <col width="40" customWidth="1" min="5" max="5"/>
  </cols>
  <sheetData>
    <row r="1" ht="36" customHeight="1">
      <c r="A1" s="10" t="inlineStr">
        <is>
          <t>Identifiant unique
(utilisé dans Boss &gt; drops et Recettes Sorcière)</t>
        </is>
      </c>
      <c r="B1" s="10" t="inlineStr">
        <is>
          <t>Nom affiché</t>
        </is>
      </c>
      <c r="C1" s="10" t="inlineStr">
        <is>
          <t>Rareté</t>
        </is>
      </c>
      <c r="D1" s="10" t="inlineStr">
        <is>
          <t>Clé icône
(optionnel)</t>
        </is>
      </c>
      <c r="E1" s="10" t="inlineStr">
        <is>
          <t>Description
(optionnel)</t>
        </is>
      </c>
    </row>
    <row r="2">
      <c r="A2" s="30" t="inlineStr">
        <is>
          <t>moon_herb</t>
        </is>
      </c>
      <c r="B2" s="30" t="inlineStr">
        <is>
          <t>Herbe lunaire</t>
        </is>
      </c>
      <c r="C2" s="30" t="inlineStr">
        <is>
          <t>common</t>
        </is>
      </c>
      <c r="D2" s="30" t="inlineStr">
        <is>
          <t>three-leaves</t>
        </is>
      </c>
      <c r="E2" s="30" t="inlineStr">
        <is>
          <t>Pousse uniquement les nuits sans lune.</t>
        </is>
      </c>
    </row>
    <row r="3">
      <c r="A3" s="17" t="inlineStr">
        <is>
          <t>wolf_blood</t>
        </is>
      </c>
      <c r="B3" s="17" t="inlineStr">
        <is>
          <t>Sang de loup</t>
        </is>
      </c>
      <c r="C3" s="17" t="inlineStr">
        <is>
          <t>rare</t>
        </is>
      </c>
      <c r="D3" s="17" t="inlineStr">
        <is>
          <t>water-drop</t>
        </is>
      </c>
      <c r="E3" s="17" t="inlineStr">
        <is>
          <t>Encore chaud et empli de fureur.</t>
        </is>
      </c>
    </row>
    <row r="4">
      <c r="A4" s="30" t="inlineStr">
        <is>
          <t>fairy_tear</t>
        </is>
      </c>
      <c r="B4" s="30" t="inlineStr">
        <is>
          <t>Larme de fée</t>
        </is>
      </c>
      <c r="C4" s="30" t="inlineStr">
        <is>
          <t>epic</t>
        </is>
      </c>
      <c r="D4" s="30" t="inlineStr">
        <is>
          <t>crystal-shine</t>
        </is>
      </c>
      <c r="E4" s="30" t="inlineStr">
        <is>
          <t>Cristallise les rêves en pouvoir.</t>
        </is>
      </c>
    </row>
  </sheetData>
  <dataValidations count="1">
    <dataValidation sqref="C2:C200" showDropDown="0" showInputMessage="0" showErrorMessage="1" allowBlank="1" errorTitle="Valeur invalide" error="Valeur non valide" type="list">
      <formula1>"common,rare,epic,legendary"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D97706"/>
    <outlinePr summaryBelow="1" summaryRight="1"/>
    <pageSetUpPr/>
  </sheetPr>
  <dimension ref="A1:J68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3" customWidth="1" min="7" max="7"/>
    <col width="10" customWidth="1" min="8" max="8"/>
    <col width="12" customWidth="1" min="9" max="9"/>
    <col width="10" customWidth="1" min="10" max="10"/>
  </cols>
  <sheetData>
    <row r="1" ht="36" customHeight="1">
      <c r="A1" s="36" t="inlineStr">
        <is>
          <t>📈  SYSTÈME DE PROGRESSION — Montée en niveau</t>
        </is>
      </c>
      <c r="B1" s="63" t="n"/>
      <c r="C1" s="63" t="n"/>
      <c r="D1" s="63" t="n"/>
      <c r="E1" s="63" t="n"/>
      <c r="F1" s="63" t="n"/>
      <c r="G1" s="63" t="n"/>
      <c r="H1" s="63" t="n"/>
      <c r="I1" s="63" t="n"/>
      <c r="J1" s="64" t="n"/>
    </row>
    <row r="2" ht="20" customHeight="1">
      <c r="A2" s="37" t="inlineStr">
        <is>
          <t>Les cellules en JAUNE sont les valeurs que tu peux modifier. Le tableau se recalcule automatiquement.</t>
        </is>
      </c>
      <c r="B2" s="63" t="n"/>
      <c r="C2" s="63" t="n"/>
      <c r="D2" s="63" t="n"/>
      <c r="E2" s="63" t="n"/>
      <c r="F2" s="63" t="n"/>
      <c r="G2" s="63" t="n"/>
      <c r="H2" s="63" t="n"/>
      <c r="I2" s="63" t="n"/>
      <c r="J2" s="64" t="n"/>
    </row>
    <row r="4" ht="26" customHeight="1">
      <c r="A4" s="38" t="inlineStr">
        <is>
          <t>⚙️  PARAMÈTRES XP</t>
        </is>
      </c>
      <c r="B4" s="63" t="n"/>
      <c r="C4" s="63" t="n"/>
      <c r="D4" s="63" t="n"/>
      <c r="E4" s="64" t="n"/>
    </row>
    <row r="5" ht="22" customHeight="1">
      <c r="A5" s="3" t="inlineStr">
        <is>
          <t>Paramètre</t>
        </is>
      </c>
      <c r="B5" s="3" t="inlineStr">
        <is>
          <t>Constante code</t>
        </is>
      </c>
      <c r="C5" s="3" t="inlineStr">
        <is>
          <t>Valeur (modifiable)</t>
        </is>
      </c>
      <c r="D5" s="3" t="inlineStr">
        <is>
          <t>Description</t>
        </is>
      </c>
    </row>
    <row r="6" ht="28" customHeight="1">
      <c r="A6" s="39" t="inlineStr">
        <is>
          <t>Multiplicateur XP de base</t>
        </is>
      </c>
      <c r="B6" s="40" t="inlineStr">
        <is>
          <t>XP_BASE_MULT</t>
        </is>
      </c>
      <c r="C6" s="41" t="n">
        <v>200</v>
      </c>
      <c r="D6" s="42" t="inlineStr">
        <is>
          <t>Formule : XP nécessaire = XP_BASE_MULT × (niveau + 1)
Ex : niveau 1→2 = 200×2 = 400 XP</t>
        </is>
      </c>
    </row>
    <row r="7" ht="28" customHeight="1">
      <c r="A7" s="43" t="inlineStr">
        <is>
          <t>Niveau maximum du joueur</t>
        </is>
      </c>
      <c r="B7" s="44" t="inlineStr">
        <is>
          <t>MAX_LEVEL</t>
        </is>
      </c>
      <c r="C7" s="41" t="n">
        <v>50</v>
      </c>
      <c r="D7" s="45" t="inlineStr">
        <is>
          <t>Au-delà de ce niveau, plus de progression</t>
        </is>
      </c>
    </row>
    <row r="9" ht="26" customHeight="1">
      <c r="A9" s="46" t="inlineStr">
        <is>
          <t>⬆️  GAINS PAR MONTÉE DE NIVEAU (stats accordées à chaque level up)</t>
        </is>
      </c>
      <c r="B9" s="63" t="n"/>
      <c r="C9" s="63" t="n"/>
      <c r="D9" s="63" t="n"/>
      <c r="E9" s="64" t="n"/>
    </row>
    <row r="10" ht="22" customHeight="1">
      <c r="A10" s="3" t="inlineStr">
        <is>
          <t>Stat</t>
        </is>
      </c>
      <c r="B10" s="3" t="inlineStr">
        <is>
          <t>Champ JS</t>
        </is>
      </c>
      <c r="C10" s="3" t="inlineStr">
        <is>
          <t>Gain par niveau</t>
        </is>
      </c>
      <c r="D10" s="3" t="inlineStr">
        <is>
          <t>Description</t>
        </is>
      </c>
    </row>
    <row r="11" ht="24" customHeight="1">
      <c r="A11" s="43" t="inlineStr">
        <is>
          <t>Force</t>
        </is>
      </c>
      <c r="B11" s="44" t="inlineStr">
        <is>
          <t>stats.force</t>
        </is>
      </c>
      <c r="C11" s="41" t="n">
        <v>5</v>
      </c>
      <c r="D11" s="45" t="inlineStr">
        <is>
          <t>Augmente les dégâts de base en combat</t>
        </is>
      </c>
    </row>
    <row r="12" ht="24" customHeight="1">
      <c r="A12" s="39" t="inlineStr">
        <is>
          <t>Défense</t>
        </is>
      </c>
      <c r="B12" s="40" t="inlineStr">
        <is>
          <t>stats.defense</t>
        </is>
      </c>
      <c r="C12" s="41" t="n">
        <v>3</v>
      </c>
      <c r="D12" s="42" t="inlineStr">
        <is>
          <t>Réduit les dégâts reçus des boss</t>
        </is>
      </c>
    </row>
    <row r="13" ht="24" customHeight="1">
      <c r="A13" s="43" t="inlineStr">
        <is>
          <t>Vitesse</t>
        </is>
      </c>
      <c r="B13" s="44" t="inlineStr">
        <is>
          <t>stats.agility</t>
        </is>
      </c>
      <c r="C13" s="41" t="n">
        <v>2</v>
      </c>
      <c r="D13" s="45" t="inlineStr">
        <is>
          <t>Influence la vitesse d'attaque et l'esquive</t>
        </is>
      </c>
    </row>
    <row r="14" ht="24" customHeight="1">
      <c r="A14" s="39" t="inlineStr">
        <is>
          <t>Constitution</t>
        </is>
      </c>
      <c r="B14" s="40" t="inlineStr">
        <is>
          <t>stats.constitution</t>
        </is>
      </c>
      <c r="C14" s="41" t="n">
        <v>10</v>
      </c>
      <c r="D14" s="42" t="inlineStr">
        <is>
          <t>Augmente les PV max du joueur</t>
        </is>
      </c>
    </row>
    <row r="15" ht="24" customHeight="1">
      <c r="A15" s="43" t="inlineStr">
        <is>
          <t>Mana</t>
        </is>
      </c>
      <c r="B15" s="44" t="inlineStr">
        <is>
          <t>stats.mana</t>
        </is>
      </c>
      <c r="C15" s="41" t="n">
        <v>10</v>
      </c>
      <c r="D15" s="45" t="inlineStr">
        <is>
          <t>Augmente les PM max (sorts)</t>
        </is>
      </c>
    </row>
    <row r="17" ht="26" customHeight="1">
      <c r="A17" s="47" t="inlineStr">
        <is>
          <t>📊  TABLEAU DES NIVEAUX  (calculé automatiquement à partir des paramètres)</t>
        </is>
      </c>
      <c r="B17" s="63" t="n"/>
      <c r="C17" s="63" t="n"/>
      <c r="D17" s="63" t="n"/>
      <c r="E17" s="63" t="n"/>
      <c r="F17" s="63" t="n"/>
      <c r="G17" s="63" t="n"/>
      <c r="H17" s="63" t="n"/>
      <c r="I17" s="63" t="n"/>
      <c r="J17" s="64" t="n"/>
    </row>
    <row r="18" ht="36" customHeight="1">
      <c r="A18" s="10" t="inlineStr">
        <is>
          <t>Niveau</t>
        </is>
      </c>
      <c r="B18" s="10" t="inlineStr">
        <is>
          <t>XP nécessaire
pour passer</t>
        </is>
      </c>
      <c r="C18" s="10" t="inlineStr">
        <is>
          <t>XP cumulée
depuis début</t>
        </is>
      </c>
      <c r="D18" s="10" t="inlineStr">
        <is>
          <t>Force
(total)</t>
        </is>
      </c>
      <c r="E18" s="10" t="inlineStr">
        <is>
          <t>Défense
(total)</t>
        </is>
      </c>
      <c r="F18" s="10" t="inlineStr">
        <is>
          <t>Vitesse
(total)</t>
        </is>
      </c>
      <c r="G18" s="10" t="inlineStr">
        <is>
          <t>Constitution
(total)</t>
        </is>
      </c>
      <c r="H18" s="10" t="inlineStr">
        <is>
          <t>Mana
(total)</t>
        </is>
      </c>
      <c r="I18" s="10" t="inlineStr">
        <is>
          <t>PV max
(= Constitution)</t>
        </is>
      </c>
      <c r="J18" s="10" t="inlineStr">
        <is>
          <t>Mana max</t>
        </is>
      </c>
    </row>
    <row r="19" ht="18" customHeight="1">
      <c r="A19" s="48" t="n">
        <v>1</v>
      </c>
      <c r="B19" s="48" t="n">
        <v>400</v>
      </c>
      <c r="C19" s="48" t="n">
        <v>0</v>
      </c>
      <c r="D19" s="48" t="n">
        <v>10</v>
      </c>
      <c r="E19" s="48" t="n">
        <v>5</v>
      </c>
      <c r="F19" s="48" t="n">
        <v>5</v>
      </c>
      <c r="G19" s="48" t="n">
        <v>80</v>
      </c>
      <c r="H19" s="48" t="n">
        <v>100</v>
      </c>
      <c r="I19" s="48" t="n">
        <v>80</v>
      </c>
      <c r="J19" s="48" t="n">
        <v>100</v>
      </c>
    </row>
    <row r="20" ht="18" customHeight="1">
      <c r="A20" s="49" t="n">
        <v>2</v>
      </c>
      <c r="B20" s="49" t="n">
        <v>600</v>
      </c>
      <c r="C20" s="49" t="n">
        <v>400</v>
      </c>
      <c r="D20" s="49" t="n">
        <v>15</v>
      </c>
      <c r="E20" s="49" t="n">
        <v>8</v>
      </c>
      <c r="F20" s="49" t="n">
        <v>7</v>
      </c>
      <c r="G20" s="49" t="n">
        <v>90</v>
      </c>
      <c r="H20" s="49" t="n">
        <v>110</v>
      </c>
      <c r="I20" s="49" t="n">
        <v>90</v>
      </c>
      <c r="J20" s="49" t="n">
        <v>110</v>
      </c>
    </row>
    <row r="21" ht="18" customHeight="1">
      <c r="A21" s="48" t="n">
        <v>3</v>
      </c>
      <c r="B21" s="48" t="n">
        <v>800</v>
      </c>
      <c r="C21" s="48" t="n">
        <v>1000</v>
      </c>
      <c r="D21" s="48" t="n">
        <v>20</v>
      </c>
      <c r="E21" s="48" t="n">
        <v>11</v>
      </c>
      <c r="F21" s="48" t="n">
        <v>9</v>
      </c>
      <c r="G21" s="48" t="n">
        <v>100</v>
      </c>
      <c r="H21" s="48" t="n">
        <v>120</v>
      </c>
      <c r="I21" s="48" t="n">
        <v>100</v>
      </c>
      <c r="J21" s="48" t="n">
        <v>120</v>
      </c>
    </row>
    <row r="22" ht="18" customHeight="1">
      <c r="A22" s="49" t="n">
        <v>4</v>
      </c>
      <c r="B22" s="49" t="n">
        <v>1000</v>
      </c>
      <c r="C22" s="49" t="n">
        <v>1800</v>
      </c>
      <c r="D22" s="49" t="n">
        <v>25</v>
      </c>
      <c r="E22" s="49" t="n">
        <v>14</v>
      </c>
      <c r="F22" s="49" t="n">
        <v>11</v>
      </c>
      <c r="G22" s="49" t="n">
        <v>110</v>
      </c>
      <c r="H22" s="49" t="n">
        <v>130</v>
      </c>
      <c r="I22" s="49" t="n">
        <v>110</v>
      </c>
      <c r="J22" s="49" t="n">
        <v>130</v>
      </c>
    </row>
    <row r="23" ht="18" customHeight="1">
      <c r="A23" s="50" t="n">
        <v>5</v>
      </c>
      <c r="B23" s="51" t="n">
        <v>1200</v>
      </c>
      <c r="C23" s="51" t="n">
        <v>2800</v>
      </c>
      <c r="D23" s="51" t="n">
        <v>30</v>
      </c>
      <c r="E23" s="51" t="n">
        <v>17</v>
      </c>
      <c r="F23" s="51" t="n">
        <v>13</v>
      </c>
      <c r="G23" s="51" t="n">
        <v>120</v>
      </c>
      <c r="H23" s="51" t="n">
        <v>140</v>
      </c>
      <c r="I23" s="51" t="n">
        <v>120</v>
      </c>
      <c r="J23" s="51" t="n">
        <v>140</v>
      </c>
    </row>
    <row r="24" ht="18" customHeight="1">
      <c r="A24" s="49" t="n">
        <v>6</v>
      </c>
      <c r="B24" s="49" t="n">
        <v>1400</v>
      </c>
      <c r="C24" s="49" t="n">
        <v>4000</v>
      </c>
      <c r="D24" s="49" t="n">
        <v>35</v>
      </c>
      <c r="E24" s="49" t="n">
        <v>20</v>
      </c>
      <c r="F24" s="49" t="n">
        <v>15</v>
      </c>
      <c r="G24" s="49" t="n">
        <v>130</v>
      </c>
      <c r="H24" s="49" t="n">
        <v>150</v>
      </c>
      <c r="I24" s="49" t="n">
        <v>130</v>
      </c>
      <c r="J24" s="49" t="n">
        <v>150</v>
      </c>
    </row>
    <row r="25" ht="18" customHeight="1">
      <c r="A25" s="48" t="n">
        <v>7</v>
      </c>
      <c r="B25" s="48" t="n">
        <v>1600</v>
      </c>
      <c r="C25" s="48" t="n">
        <v>5400</v>
      </c>
      <c r="D25" s="48" t="n">
        <v>40</v>
      </c>
      <c r="E25" s="48" t="n">
        <v>23</v>
      </c>
      <c r="F25" s="48" t="n">
        <v>17</v>
      </c>
      <c r="G25" s="48" t="n">
        <v>140</v>
      </c>
      <c r="H25" s="48" t="n">
        <v>160</v>
      </c>
      <c r="I25" s="48" t="n">
        <v>140</v>
      </c>
      <c r="J25" s="48" t="n">
        <v>160</v>
      </c>
    </row>
    <row r="26" ht="18" customHeight="1">
      <c r="A26" s="49" t="n">
        <v>8</v>
      </c>
      <c r="B26" s="49" t="n">
        <v>1800</v>
      </c>
      <c r="C26" s="49" t="n">
        <v>7000</v>
      </c>
      <c r="D26" s="49" t="n">
        <v>45</v>
      </c>
      <c r="E26" s="49" t="n">
        <v>26</v>
      </c>
      <c r="F26" s="49" t="n">
        <v>19</v>
      </c>
      <c r="G26" s="49" t="n">
        <v>150</v>
      </c>
      <c r="H26" s="49" t="n">
        <v>170</v>
      </c>
      <c r="I26" s="49" t="n">
        <v>150</v>
      </c>
      <c r="J26" s="49" t="n">
        <v>170</v>
      </c>
    </row>
    <row r="27" ht="18" customHeight="1">
      <c r="A27" s="48" t="n">
        <v>9</v>
      </c>
      <c r="B27" s="48" t="n">
        <v>2000</v>
      </c>
      <c r="C27" s="48" t="n">
        <v>8800</v>
      </c>
      <c r="D27" s="48" t="n">
        <v>50</v>
      </c>
      <c r="E27" s="48" t="n">
        <v>29</v>
      </c>
      <c r="F27" s="48" t="n">
        <v>21</v>
      </c>
      <c r="G27" s="48" t="n">
        <v>160</v>
      </c>
      <c r="H27" s="48" t="n">
        <v>180</v>
      </c>
      <c r="I27" s="48" t="n">
        <v>160</v>
      </c>
      <c r="J27" s="48" t="n">
        <v>180</v>
      </c>
    </row>
    <row r="28" ht="18" customHeight="1">
      <c r="A28" s="50" t="n">
        <v>10</v>
      </c>
      <c r="B28" s="51" t="n">
        <v>2200</v>
      </c>
      <c r="C28" s="51" t="n">
        <v>10800</v>
      </c>
      <c r="D28" s="51" t="n">
        <v>55</v>
      </c>
      <c r="E28" s="51" t="n">
        <v>32</v>
      </c>
      <c r="F28" s="51" t="n">
        <v>23</v>
      </c>
      <c r="G28" s="51" t="n">
        <v>170</v>
      </c>
      <c r="H28" s="51" t="n">
        <v>190</v>
      </c>
      <c r="I28" s="51" t="n">
        <v>170</v>
      </c>
      <c r="J28" s="51" t="n">
        <v>190</v>
      </c>
    </row>
    <row r="29" ht="18" customHeight="1">
      <c r="A29" s="48" t="n">
        <v>11</v>
      </c>
      <c r="B29" s="48" t="n">
        <v>2400</v>
      </c>
      <c r="C29" s="48" t="n">
        <v>13000</v>
      </c>
      <c r="D29" s="48" t="n">
        <v>60</v>
      </c>
      <c r="E29" s="48" t="n">
        <v>35</v>
      </c>
      <c r="F29" s="48" t="n">
        <v>25</v>
      </c>
      <c r="G29" s="48" t="n">
        <v>180</v>
      </c>
      <c r="H29" s="48" t="n">
        <v>200</v>
      </c>
      <c r="I29" s="48" t="n">
        <v>180</v>
      </c>
      <c r="J29" s="48" t="n">
        <v>200</v>
      </c>
    </row>
    <row r="30" ht="18" customHeight="1">
      <c r="A30" s="49" t="n">
        <v>12</v>
      </c>
      <c r="B30" s="49" t="n">
        <v>2600</v>
      </c>
      <c r="C30" s="49" t="n">
        <v>15400</v>
      </c>
      <c r="D30" s="49" t="n">
        <v>65</v>
      </c>
      <c r="E30" s="49" t="n">
        <v>38</v>
      </c>
      <c r="F30" s="49" t="n">
        <v>27</v>
      </c>
      <c r="G30" s="49" t="n">
        <v>190</v>
      </c>
      <c r="H30" s="49" t="n">
        <v>210</v>
      </c>
      <c r="I30" s="49" t="n">
        <v>190</v>
      </c>
      <c r="J30" s="49" t="n">
        <v>210</v>
      </c>
    </row>
    <row r="31" ht="18" customHeight="1">
      <c r="A31" s="48" t="n">
        <v>13</v>
      </c>
      <c r="B31" s="48" t="n">
        <v>2800</v>
      </c>
      <c r="C31" s="48" t="n">
        <v>18000</v>
      </c>
      <c r="D31" s="48" t="n">
        <v>70</v>
      </c>
      <c r="E31" s="48" t="n">
        <v>41</v>
      </c>
      <c r="F31" s="48" t="n">
        <v>29</v>
      </c>
      <c r="G31" s="48" t="n">
        <v>200</v>
      </c>
      <c r="H31" s="48" t="n">
        <v>220</v>
      </c>
      <c r="I31" s="48" t="n">
        <v>200</v>
      </c>
      <c r="J31" s="48" t="n">
        <v>220</v>
      </c>
    </row>
    <row r="32" ht="18" customHeight="1">
      <c r="A32" s="49" t="n">
        <v>14</v>
      </c>
      <c r="B32" s="49" t="n">
        <v>3000</v>
      </c>
      <c r="C32" s="49" t="n">
        <v>20800</v>
      </c>
      <c r="D32" s="49" t="n">
        <v>75</v>
      </c>
      <c r="E32" s="49" t="n">
        <v>44</v>
      </c>
      <c r="F32" s="49" t="n">
        <v>31</v>
      </c>
      <c r="G32" s="49" t="n">
        <v>210</v>
      </c>
      <c r="H32" s="49" t="n">
        <v>230</v>
      </c>
      <c r="I32" s="49" t="n">
        <v>210</v>
      </c>
      <c r="J32" s="49" t="n">
        <v>230</v>
      </c>
    </row>
    <row r="33" ht="18" customHeight="1">
      <c r="A33" s="50" t="n">
        <v>15</v>
      </c>
      <c r="B33" s="51" t="n">
        <v>3200</v>
      </c>
      <c r="C33" s="51" t="n">
        <v>23800</v>
      </c>
      <c r="D33" s="51" t="n">
        <v>80</v>
      </c>
      <c r="E33" s="51" t="n">
        <v>47</v>
      </c>
      <c r="F33" s="51" t="n">
        <v>33</v>
      </c>
      <c r="G33" s="51" t="n">
        <v>220</v>
      </c>
      <c r="H33" s="51" t="n">
        <v>240</v>
      </c>
      <c r="I33" s="51" t="n">
        <v>220</v>
      </c>
      <c r="J33" s="51" t="n">
        <v>240</v>
      </c>
    </row>
    <row r="34" ht="18" customHeight="1">
      <c r="A34" s="49" t="n">
        <v>16</v>
      </c>
      <c r="B34" s="49" t="n">
        <v>3400</v>
      </c>
      <c r="C34" s="49" t="n">
        <v>27000</v>
      </c>
      <c r="D34" s="49" t="n">
        <v>85</v>
      </c>
      <c r="E34" s="49" t="n">
        <v>50</v>
      </c>
      <c r="F34" s="49" t="n">
        <v>35</v>
      </c>
      <c r="G34" s="49" t="n">
        <v>230</v>
      </c>
      <c r="H34" s="49" t="n">
        <v>250</v>
      </c>
      <c r="I34" s="49" t="n">
        <v>230</v>
      </c>
      <c r="J34" s="49" t="n">
        <v>250</v>
      </c>
    </row>
    <row r="35" ht="18" customHeight="1">
      <c r="A35" s="48" t="n">
        <v>17</v>
      </c>
      <c r="B35" s="48" t="n">
        <v>3600</v>
      </c>
      <c r="C35" s="48" t="n">
        <v>30400</v>
      </c>
      <c r="D35" s="48" t="n">
        <v>90</v>
      </c>
      <c r="E35" s="48" t="n">
        <v>53</v>
      </c>
      <c r="F35" s="48" t="n">
        <v>37</v>
      </c>
      <c r="G35" s="48" t="n">
        <v>240</v>
      </c>
      <c r="H35" s="48" t="n">
        <v>260</v>
      </c>
      <c r="I35" s="48" t="n">
        <v>240</v>
      </c>
      <c r="J35" s="48" t="n">
        <v>260</v>
      </c>
    </row>
    <row r="36" ht="18" customHeight="1">
      <c r="A36" s="49" t="n">
        <v>18</v>
      </c>
      <c r="B36" s="49" t="n">
        <v>3800</v>
      </c>
      <c r="C36" s="49" t="n">
        <v>34000</v>
      </c>
      <c r="D36" s="49" t="n">
        <v>95</v>
      </c>
      <c r="E36" s="49" t="n">
        <v>56</v>
      </c>
      <c r="F36" s="49" t="n">
        <v>39</v>
      </c>
      <c r="G36" s="49" t="n">
        <v>250</v>
      </c>
      <c r="H36" s="49" t="n">
        <v>270</v>
      </c>
      <c r="I36" s="49" t="n">
        <v>250</v>
      </c>
      <c r="J36" s="49" t="n">
        <v>270</v>
      </c>
    </row>
    <row r="37" ht="18" customHeight="1">
      <c r="A37" s="48" t="n">
        <v>19</v>
      </c>
      <c r="B37" s="48" t="n">
        <v>4000</v>
      </c>
      <c r="C37" s="48" t="n">
        <v>37800</v>
      </c>
      <c r="D37" s="48" t="n">
        <v>100</v>
      </c>
      <c r="E37" s="48" t="n">
        <v>59</v>
      </c>
      <c r="F37" s="48" t="n">
        <v>41</v>
      </c>
      <c r="G37" s="48" t="n">
        <v>260</v>
      </c>
      <c r="H37" s="48" t="n">
        <v>280</v>
      </c>
      <c r="I37" s="48" t="n">
        <v>260</v>
      </c>
      <c r="J37" s="48" t="n">
        <v>280</v>
      </c>
    </row>
    <row r="38" ht="18" customHeight="1">
      <c r="A38" s="50" t="n">
        <v>20</v>
      </c>
      <c r="B38" s="51" t="n">
        <v>4200</v>
      </c>
      <c r="C38" s="51" t="n">
        <v>41800</v>
      </c>
      <c r="D38" s="51" t="n">
        <v>105</v>
      </c>
      <c r="E38" s="51" t="n">
        <v>62</v>
      </c>
      <c r="F38" s="51" t="n">
        <v>43</v>
      </c>
      <c r="G38" s="51" t="n">
        <v>270</v>
      </c>
      <c r="H38" s="51" t="n">
        <v>290</v>
      </c>
      <c r="I38" s="51" t="n">
        <v>270</v>
      </c>
      <c r="J38" s="51" t="n">
        <v>290</v>
      </c>
    </row>
    <row r="39" ht="18" customHeight="1">
      <c r="A39" s="48" t="n">
        <v>21</v>
      </c>
      <c r="B39" s="48" t="n">
        <v>4400</v>
      </c>
      <c r="C39" s="48" t="n">
        <v>46000</v>
      </c>
      <c r="D39" s="48" t="n">
        <v>110</v>
      </c>
      <c r="E39" s="48" t="n">
        <v>65</v>
      </c>
      <c r="F39" s="48" t="n">
        <v>45</v>
      </c>
      <c r="G39" s="48" t="n">
        <v>280</v>
      </c>
      <c r="H39" s="48" t="n">
        <v>300</v>
      </c>
      <c r="I39" s="48" t="n">
        <v>280</v>
      </c>
      <c r="J39" s="48" t="n">
        <v>300</v>
      </c>
    </row>
    <row r="40" ht="18" customHeight="1">
      <c r="A40" s="49" t="n">
        <v>22</v>
      </c>
      <c r="B40" s="49" t="n">
        <v>4600</v>
      </c>
      <c r="C40" s="49" t="n">
        <v>50400</v>
      </c>
      <c r="D40" s="49" t="n">
        <v>115</v>
      </c>
      <c r="E40" s="49" t="n">
        <v>68</v>
      </c>
      <c r="F40" s="49" t="n">
        <v>47</v>
      </c>
      <c r="G40" s="49" t="n">
        <v>290</v>
      </c>
      <c r="H40" s="49" t="n">
        <v>310</v>
      </c>
      <c r="I40" s="49" t="n">
        <v>290</v>
      </c>
      <c r="J40" s="49" t="n">
        <v>310</v>
      </c>
    </row>
    <row r="41" ht="18" customHeight="1">
      <c r="A41" s="48" t="n">
        <v>23</v>
      </c>
      <c r="B41" s="48" t="n">
        <v>4800</v>
      </c>
      <c r="C41" s="48" t="n">
        <v>55000</v>
      </c>
      <c r="D41" s="48" t="n">
        <v>120</v>
      </c>
      <c r="E41" s="48" t="n">
        <v>71</v>
      </c>
      <c r="F41" s="48" t="n">
        <v>49</v>
      </c>
      <c r="G41" s="48" t="n">
        <v>300</v>
      </c>
      <c r="H41" s="48" t="n">
        <v>320</v>
      </c>
      <c r="I41" s="48" t="n">
        <v>300</v>
      </c>
      <c r="J41" s="48" t="n">
        <v>320</v>
      </c>
    </row>
    <row r="42" ht="18" customHeight="1">
      <c r="A42" s="49" t="n">
        <v>24</v>
      </c>
      <c r="B42" s="49" t="n">
        <v>5000</v>
      </c>
      <c r="C42" s="49" t="n">
        <v>59800</v>
      </c>
      <c r="D42" s="49" t="n">
        <v>125</v>
      </c>
      <c r="E42" s="49" t="n">
        <v>74</v>
      </c>
      <c r="F42" s="49" t="n">
        <v>51</v>
      </c>
      <c r="G42" s="49" t="n">
        <v>310</v>
      </c>
      <c r="H42" s="49" t="n">
        <v>330</v>
      </c>
      <c r="I42" s="49" t="n">
        <v>310</v>
      </c>
      <c r="J42" s="49" t="n">
        <v>330</v>
      </c>
    </row>
    <row r="43" ht="18" customHeight="1">
      <c r="A43" s="50" t="n">
        <v>25</v>
      </c>
      <c r="B43" s="51" t="n">
        <v>5200</v>
      </c>
      <c r="C43" s="51" t="n">
        <v>64800</v>
      </c>
      <c r="D43" s="51" t="n">
        <v>130</v>
      </c>
      <c r="E43" s="51" t="n">
        <v>77</v>
      </c>
      <c r="F43" s="51" t="n">
        <v>53</v>
      </c>
      <c r="G43" s="51" t="n">
        <v>320</v>
      </c>
      <c r="H43" s="51" t="n">
        <v>340</v>
      </c>
      <c r="I43" s="51" t="n">
        <v>320</v>
      </c>
      <c r="J43" s="51" t="n">
        <v>340</v>
      </c>
    </row>
    <row r="44" ht="18" customHeight="1">
      <c r="A44" s="49" t="n">
        <v>26</v>
      </c>
      <c r="B44" s="49" t="n">
        <v>5400</v>
      </c>
      <c r="C44" s="49" t="n">
        <v>70000</v>
      </c>
      <c r="D44" s="49" t="n">
        <v>135</v>
      </c>
      <c r="E44" s="49" t="n">
        <v>80</v>
      </c>
      <c r="F44" s="49" t="n">
        <v>55</v>
      </c>
      <c r="G44" s="49" t="n">
        <v>330</v>
      </c>
      <c r="H44" s="49" t="n">
        <v>350</v>
      </c>
      <c r="I44" s="49" t="n">
        <v>330</v>
      </c>
      <c r="J44" s="49" t="n">
        <v>350</v>
      </c>
    </row>
    <row r="45" ht="18" customHeight="1">
      <c r="A45" s="48" t="n">
        <v>27</v>
      </c>
      <c r="B45" s="48" t="n">
        <v>5600</v>
      </c>
      <c r="C45" s="48" t="n">
        <v>75400</v>
      </c>
      <c r="D45" s="48" t="n">
        <v>140</v>
      </c>
      <c r="E45" s="48" t="n">
        <v>83</v>
      </c>
      <c r="F45" s="48" t="n">
        <v>57</v>
      </c>
      <c r="G45" s="48" t="n">
        <v>340</v>
      </c>
      <c r="H45" s="48" t="n">
        <v>360</v>
      </c>
      <c r="I45" s="48" t="n">
        <v>340</v>
      </c>
      <c r="J45" s="48" t="n">
        <v>360</v>
      </c>
    </row>
    <row r="46" ht="18" customHeight="1">
      <c r="A46" s="49" t="n">
        <v>28</v>
      </c>
      <c r="B46" s="49" t="n">
        <v>5800</v>
      </c>
      <c r="C46" s="49" t="n">
        <v>81000</v>
      </c>
      <c r="D46" s="49" t="n">
        <v>145</v>
      </c>
      <c r="E46" s="49" t="n">
        <v>86</v>
      </c>
      <c r="F46" s="49" t="n">
        <v>59</v>
      </c>
      <c r="G46" s="49" t="n">
        <v>350</v>
      </c>
      <c r="H46" s="49" t="n">
        <v>370</v>
      </c>
      <c r="I46" s="49" t="n">
        <v>350</v>
      </c>
      <c r="J46" s="49" t="n">
        <v>370</v>
      </c>
    </row>
    <row r="47" ht="18" customHeight="1">
      <c r="A47" s="48" t="n">
        <v>29</v>
      </c>
      <c r="B47" s="48" t="n">
        <v>6000</v>
      </c>
      <c r="C47" s="48" t="n">
        <v>86800</v>
      </c>
      <c r="D47" s="48" t="n">
        <v>150</v>
      </c>
      <c r="E47" s="48" t="n">
        <v>89</v>
      </c>
      <c r="F47" s="48" t="n">
        <v>61</v>
      </c>
      <c r="G47" s="48" t="n">
        <v>360</v>
      </c>
      <c r="H47" s="48" t="n">
        <v>380</v>
      </c>
      <c r="I47" s="48" t="n">
        <v>360</v>
      </c>
      <c r="J47" s="48" t="n">
        <v>380</v>
      </c>
    </row>
    <row r="48" ht="18" customHeight="1">
      <c r="A48" s="50" t="n">
        <v>30</v>
      </c>
      <c r="B48" s="51" t="n">
        <v>6200</v>
      </c>
      <c r="C48" s="51" t="n">
        <v>92800</v>
      </c>
      <c r="D48" s="51" t="n">
        <v>155</v>
      </c>
      <c r="E48" s="51" t="n">
        <v>92</v>
      </c>
      <c r="F48" s="51" t="n">
        <v>63</v>
      </c>
      <c r="G48" s="51" t="n">
        <v>370</v>
      </c>
      <c r="H48" s="51" t="n">
        <v>390</v>
      </c>
      <c r="I48" s="51" t="n">
        <v>370</v>
      </c>
      <c r="J48" s="51" t="n">
        <v>390</v>
      </c>
    </row>
    <row r="49" ht="18" customHeight="1">
      <c r="A49" s="48" t="n">
        <v>31</v>
      </c>
      <c r="B49" s="48" t="n">
        <v>6400</v>
      </c>
      <c r="C49" s="48" t="n">
        <v>99000</v>
      </c>
      <c r="D49" s="48" t="n">
        <v>160</v>
      </c>
      <c r="E49" s="48" t="n">
        <v>95</v>
      </c>
      <c r="F49" s="48" t="n">
        <v>65</v>
      </c>
      <c r="G49" s="48" t="n">
        <v>380</v>
      </c>
      <c r="H49" s="48" t="n">
        <v>400</v>
      </c>
      <c r="I49" s="48" t="n">
        <v>380</v>
      </c>
      <c r="J49" s="48" t="n">
        <v>400</v>
      </c>
    </row>
    <row r="50" ht="18" customHeight="1">
      <c r="A50" s="49" t="n">
        <v>32</v>
      </c>
      <c r="B50" s="49" t="n">
        <v>6600</v>
      </c>
      <c r="C50" s="49" t="n">
        <v>105400</v>
      </c>
      <c r="D50" s="49" t="n">
        <v>165</v>
      </c>
      <c r="E50" s="49" t="n">
        <v>98</v>
      </c>
      <c r="F50" s="49" t="n">
        <v>67</v>
      </c>
      <c r="G50" s="49" t="n">
        <v>390</v>
      </c>
      <c r="H50" s="49" t="n">
        <v>410</v>
      </c>
      <c r="I50" s="49" t="n">
        <v>390</v>
      </c>
      <c r="J50" s="49" t="n">
        <v>410</v>
      </c>
    </row>
    <row r="51" ht="18" customHeight="1">
      <c r="A51" s="48" t="n">
        <v>33</v>
      </c>
      <c r="B51" s="48" t="n">
        <v>6800</v>
      </c>
      <c r="C51" s="48" t="n">
        <v>112000</v>
      </c>
      <c r="D51" s="48" t="n">
        <v>170</v>
      </c>
      <c r="E51" s="48" t="n">
        <v>101</v>
      </c>
      <c r="F51" s="48" t="n">
        <v>69</v>
      </c>
      <c r="G51" s="48" t="n">
        <v>400</v>
      </c>
      <c r="H51" s="48" t="n">
        <v>420</v>
      </c>
      <c r="I51" s="48" t="n">
        <v>400</v>
      </c>
      <c r="J51" s="48" t="n">
        <v>420</v>
      </c>
    </row>
    <row r="52" ht="18" customHeight="1">
      <c r="A52" s="49" t="n">
        <v>34</v>
      </c>
      <c r="B52" s="49" t="n">
        <v>7000</v>
      </c>
      <c r="C52" s="49" t="n">
        <v>118800</v>
      </c>
      <c r="D52" s="49" t="n">
        <v>175</v>
      </c>
      <c r="E52" s="49" t="n">
        <v>104</v>
      </c>
      <c r="F52" s="49" t="n">
        <v>71</v>
      </c>
      <c r="G52" s="49" t="n">
        <v>410</v>
      </c>
      <c r="H52" s="49" t="n">
        <v>430</v>
      </c>
      <c r="I52" s="49" t="n">
        <v>410</v>
      </c>
      <c r="J52" s="49" t="n">
        <v>430</v>
      </c>
    </row>
    <row r="53" ht="18" customHeight="1">
      <c r="A53" s="50" t="n">
        <v>35</v>
      </c>
      <c r="B53" s="51" t="n">
        <v>7200</v>
      </c>
      <c r="C53" s="51" t="n">
        <v>125800</v>
      </c>
      <c r="D53" s="51" t="n">
        <v>180</v>
      </c>
      <c r="E53" s="51" t="n">
        <v>107</v>
      </c>
      <c r="F53" s="51" t="n">
        <v>73</v>
      </c>
      <c r="G53" s="51" t="n">
        <v>420</v>
      </c>
      <c r="H53" s="51" t="n">
        <v>440</v>
      </c>
      <c r="I53" s="51" t="n">
        <v>420</v>
      </c>
      <c r="J53" s="51" t="n">
        <v>440</v>
      </c>
    </row>
    <row r="54" ht="18" customHeight="1">
      <c r="A54" s="49" t="n">
        <v>36</v>
      </c>
      <c r="B54" s="49" t="n">
        <v>7400</v>
      </c>
      <c r="C54" s="49" t="n">
        <v>133000</v>
      </c>
      <c r="D54" s="49" t="n">
        <v>185</v>
      </c>
      <c r="E54" s="49" t="n">
        <v>110</v>
      </c>
      <c r="F54" s="49" t="n">
        <v>75</v>
      </c>
      <c r="G54" s="49" t="n">
        <v>430</v>
      </c>
      <c r="H54" s="49" t="n">
        <v>450</v>
      </c>
      <c r="I54" s="49" t="n">
        <v>430</v>
      </c>
      <c r="J54" s="49" t="n">
        <v>450</v>
      </c>
    </row>
    <row r="55" ht="18" customHeight="1">
      <c r="A55" s="48" t="n">
        <v>37</v>
      </c>
      <c r="B55" s="48" t="n">
        <v>7600</v>
      </c>
      <c r="C55" s="48" t="n">
        <v>140400</v>
      </c>
      <c r="D55" s="48" t="n">
        <v>190</v>
      </c>
      <c r="E55" s="48" t="n">
        <v>113</v>
      </c>
      <c r="F55" s="48" t="n">
        <v>77</v>
      </c>
      <c r="G55" s="48" t="n">
        <v>440</v>
      </c>
      <c r="H55" s="48" t="n">
        <v>460</v>
      </c>
      <c r="I55" s="48" t="n">
        <v>440</v>
      </c>
      <c r="J55" s="48" t="n">
        <v>460</v>
      </c>
    </row>
    <row r="56" ht="18" customHeight="1">
      <c r="A56" s="49" t="n">
        <v>38</v>
      </c>
      <c r="B56" s="49" t="n">
        <v>7800</v>
      </c>
      <c r="C56" s="49" t="n">
        <v>148000</v>
      </c>
      <c r="D56" s="49" t="n">
        <v>195</v>
      </c>
      <c r="E56" s="49" t="n">
        <v>116</v>
      </c>
      <c r="F56" s="49" t="n">
        <v>79</v>
      </c>
      <c r="G56" s="49" t="n">
        <v>450</v>
      </c>
      <c r="H56" s="49" t="n">
        <v>470</v>
      </c>
      <c r="I56" s="49" t="n">
        <v>450</v>
      </c>
      <c r="J56" s="49" t="n">
        <v>470</v>
      </c>
    </row>
    <row r="57" ht="18" customHeight="1">
      <c r="A57" s="48" t="n">
        <v>39</v>
      </c>
      <c r="B57" s="48" t="n">
        <v>8000</v>
      </c>
      <c r="C57" s="48" t="n">
        <v>155800</v>
      </c>
      <c r="D57" s="48" t="n">
        <v>200</v>
      </c>
      <c r="E57" s="48" t="n">
        <v>119</v>
      </c>
      <c r="F57" s="48" t="n">
        <v>81</v>
      </c>
      <c r="G57" s="48" t="n">
        <v>460</v>
      </c>
      <c r="H57" s="48" t="n">
        <v>480</v>
      </c>
      <c r="I57" s="48" t="n">
        <v>460</v>
      </c>
      <c r="J57" s="48" t="n">
        <v>480</v>
      </c>
    </row>
    <row r="58" ht="18" customHeight="1">
      <c r="A58" s="50" t="n">
        <v>40</v>
      </c>
      <c r="B58" s="51" t="n">
        <v>8200</v>
      </c>
      <c r="C58" s="51" t="n">
        <v>163800</v>
      </c>
      <c r="D58" s="51" t="n">
        <v>205</v>
      </c>
      <c r="E58" s="51" t="n">
        <v>122</v>
      </c>
      <c r="F58" s="51" t="n">
        <v>83</v>
      </c>
      <c r="G58" s="51" t="n">
        <v>470</v>
      </c>
      <c r="H58" s="51" t="n">
        <v>490</v>
      </c>
      <c r="I58" s="51" t="n">
        <v>470</v>
      </c>
      <c r="J58" s="51" t="n">
        <v>490</v>
      </c>
    </row>
    <row r="59" ht="18" customHeight="1">
      <c r="A59" s="48" t="n">
        <v>41</v>
      </c>
      <c r="B59" s="48" t="n">
        <v>8400</v>
      </c>
      <c r="C59" s="48" t="n">
        <v>172000</v>
      </c>
      <c r="D59" s="48" t="n">
        <v>210</v>
      </c>
      <c r="E59" s="48" t="n">
        <v>125</v>
      </c>
      <c r="F59" s="48" t="n">
        <v>85</v>
      </c>
      <c r="G59" s="48" t="n">
        <v>480</v>
      </c>
      <c r="H59" s="48" t="n">
        <v>500</v>
      </c>
      <c r="I59" s="48" t="n">
        <v>480</v>
      </c>
      <c r="J59" s="48" t="n">
        <v>500</v>
      </c>
    </row>
    <row r="60" ht="18" customHeight="1">
      <c r="A60" s="49" t="n">
        <v>42</v>
      </c>
      <c r="B60" s="49" t="n">
        <v>8600</v>
      </c>
      <c r="C60" s="49" t="n">
        <v>180400</v>
      </c>
      <c r="D60" s="49" t="n">
        <v>215</v>
      </c>
      <c r="E60" s="49" t="n">
        <v>128</v>
      </c>
      <c r="F60" s="49" t="n">
        <v>87</v>
      </c>
      <c r="G60" s="49" t="n">
        <v>490</v>
      </c>
      <c r="H60" s="49" t="n">
        <v>510</v>
      </c>
      <c r="I60" s="49" t="n">
        <v>490</v>
      </c>
      <c r="J60" s="49" t="n">
        <v>510</v>
      </c>
    </row>
    <row r="61" ht="18" customHeight="1">
      <c r="A61" s="48" t="n">
        <v>43</v>
      </c>
      <c r="B61" s="48" t="n">
        <v>8800</v>
      </c>
      <c r="C61" s="48" t="n">
        <v>189000</v>
      </c>
      <c r="D61" s="48" t="n">
        <v>220</v>
      </c>
      <c r="E61" s="48" t="n">
        <v>131</v>
      </c>
      <c r="F61" s="48" t="n">
        <v>89</v>
      </c>
      <c r="G61" s="48" t="n">
        <v>500</v>
      </c>
      <c r="H61" s="48" t="n">
        <v>520</v>
      </c>
      <c r="I61" s="48" t="n">
        <v>500</v>
      </c>
      <c r="J61" s="48" t="n">
        <v>520</v>
      </c>
    </row>
    <row r="62" ht="18" customHeight="1">
      <c r="A62" s="49" t="n">
        <v>44</v>
      </c>
      <c r="B62" s="49" t="n">
        <v>9000</v>
      </c>
      <c r="C62" s="49" t="n">
        <v>197800</v>
      </c>
      <c r="D62" s="49" t="n">
        <v>225</v>
      </c>
      <c r="E62" s="49" t="n">
        <v>134</v>
      </c>
      <c r="F62" s="49" t="n">
        <v>91</v>
      </c>
      <c r="G62" s="49" t="n">
        <v>510</v>
      </c>
      <c r="H62" s="49" t="n">
        <v>530</v>
      </c>
      <c r="I62" s="49" t="n">
        <v>510</v>
      </c>
      <c r="J62" s="49" t="n">
        <v>530</v>
      </c>
    </row>
    <row r="63" ht="18" customHeight="1">
      <c r="A63" s="50" t="n">
        <v>45</v>
      </c>
      <c r="B63" s="51" t="n">
        <v>9200</v>
      </c>
      <c r="C63" s="51" t="n">
        <v>206800</v>
      </c>
      <c r="D63" s="51" t="n">
        <v>230</v>
      </c>
      <c r="E63" s="51" t="n">
        <v>137</v>
      </c>
      <c r="F63" s="51" t="n">
        <v>93</v>
      </c>
      <c r="G63" s="51" t="n">
        <v>520</v>
      </c>
      <c r="H63" s="51" t="n">
        <v>540</v>
      </c>
      <c r="I63" s="51" t="n">
        <v>520</v>
      </c>
      <c r="J63" s="51" t="n">
        <v>540</v>
      </c>
    </row>
    <row r="64" ht="18" customHeight="1">
      <c r="A64" s="49" t="n">
        <v>46</v>
      </c>
      <c r="B64" s="49" t="n">
        <v>9400</v>
      </c>
      <c r="C64" s="49" t="n">
        <v>216000</v>
      </c>
      <c r="D64" s="49" t="n">
        <v>235</v>
      </c>
      <c r="E64" s="49" t="n">
        <v>140</v>
      </c>
      <c r="F64" s="49" t="n">
        <v>95</v>
      </c>
      <c r="G64" s="49" t="n">
        <v>530</v>
      </c>
      <c r="H64" s="49" t="n">
        <v>550</v>
      </c>
      <c r="I64" s="49" t="n">
        <v>530</v>
      </c>
      <c r="J64" s="49" t="n">
        <v>550</v>
      </c>
    </row>
    <row r="65" ht="18" customHeight="1">
      <c r="A65" s="48" t="n">
        <v>47</v>
      </c>
      <c r="B65" s="48" t="n">
        <v>9600</v>
      </c>
      <c r="C65" s="48" t="n">
        <v>225400</v>
      </c>
      <c r="D65" s="48" t="n">
        <v>240</v>
      </c>
      <c r="E65" s="48" t="n">
        <v>143</v>
      </c>
      <c r="F65" s="48" t="n">
        <v>97</v>
      </c>
      <c r="G65" s="48" t="n">
        <v>540</v>
      </c>
      <c r="H65" s="48" t="n">
        <v>560</v>
      </c>
      <c r="I65" s="48" t="n">
        <v>540</v>
      </c>
      <c r="J65" s="48" t="n">
        <v>560</v>
      </c>
    </row>
    <row r="66" ht="18" customHeight="1">
      <c r="A66" s="49" t="n">
        <v>48</v>
      </c>
      <c r="B66" s="49" t="n">
        <v>9800</v>
      </c>
      <c r="C66" s="49" t="n">
        <v>235000</v>
      </c>
      <c r="D66" s="49" t="n">
        <v>245</v>
      </c>
      <c r="E66" s="49" t="n">
        <v>146</v>
      </c>
      <c r="F66" s="49" t="n">
        <v>99</v>
      </c>
      <c r="G66" s="49" t="n">
        <v>550</v>
      </c>
      <c r="H66" s="49" t="n">
        <v>570</v>
      </c>
      <c r="I66" s="49" t="n">
        <v>550</v>
      </c>
      <c r="J66" s="49" t="n">
        <v>570</v>
      </c>
    </row>
    <row r="67" ht="18" customHeight="1">
      <c r="A67" s="48" t="n">
        <v>49</v>
      </c>
      <c r="B67" s="48" t="n">
        <v>10000</v>
      </c>
      <c r="C67" s="48" t="n">
        <v>244800</v>
      </c>
      <c r="D67" s="48" t="n">
        <v>250</v>
      </c>
      <c r="E67" s="48" t="n">
        <v>149</v>
      </c>
      <c r="F67" s="48" t="n">
        <v>101</v>
      </c>
      <c r="G67" s="48" t="n">
        <v>560</v>
      </c>
      <c r="H67" s="48" t="n">
        <v>580</v>
      </c>
      <c r="I67" s="48" t="n">
        <v>560</v>
      </c>
      <c r="J67" s="48" t="n">
        <v>580</v>
      </c>
    </row>
    <row r="68" ht="18" customHeight="1">
      <c r="A68" s="50" t="n">
        <v>50</v>
      </c>
      <c r="B68" s="51" t="n">
        <v>10200</v>
      </c>
      <c r="C68" s="51" t="n">
        <v>254800</v>
      </c>
      <c r="D68" s="51" t="n">
        <v>255</v>
      </c>
      <c r="E68" s="51" t="n">
        <v>152</v>
      </c>
      <c r="F68" s="51" t="n">
        <v>103</v>
      </c>
      <c r="G68" s="51" t="n">
        <v>570</v>
      </c>
      <c r="H68" s="51" t="n">
        <v>590</v>
      </c>
      <c r="I68" s="51" t="n">
        <v>570</v>
      </c>
      <c r="J68" s="51" t="n">
        <v>590</v>
      </c>
    </row>
  </sheetData>
  <mergeCells count="5">
    <mergeCell ref="A1:J1"/>
    <mergeCell ref="A4:E4"/>
    <mergeCell ref="A17:J17"/>
    <mergeCell ref="A2:J2"/>
    <mergeCell ref="A9:E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59E0B"/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30" customWidth="1" min="3" max="3"/>
    <col width="40" customWidth="1" min="4" max="4"/>
  </cols>
  <sheetData>
    <row r="1" ht="36" customHeight="1">
      <c r="A1" s="36" t="inlineStr">
        <is>
          <t>🏆  SYSTÈME DE RECORDS — Configuration des récompenses</t>
        </is>
      </c>
      <c r="B1" s="63" t="n"/>
      <c r="C1" s="63" t="n"/>
      <c r="D1" s="63" t="n"/>
      <c r="E1" s="63" t="n"/>
      <c r="F1" s="63" t="n"/>
      <c r="G1" s="64" t="n"/>
    </row>
    <row r="2" ht="20" customHeight="1">
      <c r="A2" s="52" t="inlineStr">
        <is>
          <t>Un record = dépasser son meilleur score personnel sur un exercice. Les cellules JAUNES sont modifiables.</t>
        </is>
      </c>
      <c r="B2" s="63" t="n"/>
      <c r="C2" s="63" t="n"/>
      <c r="D2" s="63" t="n"/>
      <c r="E2" s="63" t="n"/>
      <c r="F2" s="63" t="n"/>
      <c r="G2" s="64" t="n"/>
    </row>
    <row r="4" ht="26" customHeight="1">
      <c r="A4" s="53" t="inlineStr">
        <is>
          <t>📏  CONDITIONS POUR BATTRE UN RECORD</t>
        </is>
      </c>
      <c r="B4" s="63" t="n"/>
      <c r="C4" s="63" t="n"/>
      <c r="D4" s="63" t="n"/>
      <c r="E4" s="64" t="n"/>
    </row>
    <row r="5" ht="22" customHeight="1">
      <c r="A5" s="3" t="inlineStr">
        <is>
          <t>Type d'exercice</t>
        </is>
      </c>
      <c r="B5" s="3" t="inlineStr">
        <is>
          <t>Condition 1</t>
        </is>
      </c>
      <c r="C5" s="3" t="inlineStr">
        <is>
          <t>Condition 2</t>
        </is>
      </c>
      <c r="D5" s="3" t="inlineStr">
        <is>
          <t>Notes</t>
        </is>
      </c>
    </row>
    <row r="6" ht="30" customHeight="1">
      <c r="A6" s="54" t="inlineStr">
        <is>
          <t>Avec poids (hasWeight = true)</t>
        </is>
      </c>
      <c r="B6" s="54" t="inlineStr">
        <is>
          <t>Nouveau record kg (poids &gt; meilleur kg)</t>
        </is>
      </c>
      <c r="C6" s="54" t="inlineStr">
        <is>
          <t>OU nouveau record volume (séries × reps &gt; meilleur volume)</t>
        </is>
      </c>
      <c r="D6" s="42" t="inlineStr">
        <is>
          <t>Les deux conditions sont indépendantes — l'une OU l'autre suffit</t>
        </is>
      </c>
    </row>
    <row r="7" ht="30" customHeight="1">
      <c r="A7" s="55" t="inlineStr">
        <is>
          <t>Sans poids (hasWeight = false)</t>
        </is>
      </c>
      <c r="B7" s="55" t="inlineStr">
        <is>
          <t>Nouveau record volume (séries × reps &gt; meilleur volume)</t>
        </is>
      </c>
      <c r="C7" s="55" t="inlineStr">
        <is>
          <t>—</t>
        </is>
      </c>
      <c r="D7" s="45" t="inlineStr">
        <is>
          <t>Volume = séries × répétitions, ou séries × secondes</t>
        </is>
      </c>
    </row>
    <row r="9" ht="26" customHeight="1">
      <c r="A9" s="46" t="inlineStr">
        <is>
          <t>🎁  RÉCOMPENSES ACCORDÉES À CHAQUE RECORD BATTU</t>
        </is>
      </c>
      <c r="B9" s="63" t="n"/>
      <c r="C9" s="63" t="n"/>
      <c r="D9" s="63" t="n"/>
      <c r="E9" s="64" t="n"/>
    </row>
    <row r="10" ht="22" customHeight="1">
      <c r="A10" s="3" t="inlineStr">
        <is>
          <t>Récompense</t>
        </is>
      </c>
      <c r="B10" s="3" t="inlineStr">
        <is>
          <t>Valeur actuelle
(modifiable)</t>
        </is>
      </c>
      <c r="C10" s="3" t="inlineStr">
        <is>
          <t>Détail technique</t>
        </is>
      </c>
      <c r="D10" s="3" t="inlineStr">
        <is>
          <t>Effet en jeu</t>
        </is>
      </c>
    </row>
    <row r="11" ht="30" customHeight="1">
      <c r="A11" s="43" t="inlineStr">
        <is>
          <t>+1 stat permanente (selon type)</t>
        </is>
      </c>
      <c r="B11" s="41" t="n">
        <v>1</v>
      </c>
      <c r="C11" s="44" t="inlineStr">
        <is>
          <t>state.player.stats[statKey] += RECORD_STAT_GAIN</t>
        </is>
      </c>
      <c r="D11" s="45" t="inlineStr">
        <is>
          <t>Augmente définitivement Force / Défense / Vitesse du joueur</t>
        </is>
      </c>
    </row>
    <row r="12" ht="30" customHeight="1">
      <c r="A12" s="39" t="inlineStr">
        <is>
          <t>+1 bonus dégâts sur cet exercice</t>
        </is>
      </c>
      <c r="B12" s="41" t="n">
        <v>1</v>
      </c>
      <c r="C12" s="40" t="inlineStr">
        <is>
          <t>records_bonus[exerciseId] += RECORD_DMG_GAIN</t>
        </is>
      </c>
      <c r="D12" s="42" t="inlineStr">
        <is>
          <t>Cet exercice fait +N dégâts en combat pour toujours (cumulatif)</t>
        </is>
      </c>
    </row>
    <row r="14" ht="26" customHeight="1">
      <c r="A14" s="56" t="inlineStr">
        <is>
          <t>🔗  CORRESPONDANCE TYPE D'EXERCICE → STAT GAGNÉE</t>
        </is>
      </c>
      <c r="B14" s="63" t="n"/>
      <c r="C14" s="63" t="n"/>
      <c r="D14" s="63" t="n"/>
      <c r="E14" s="64" t="n"/>
    </row>
    <row r="15" ht="22" customHeight="1">
      <c r="A15" s="3" t="inlineStr">
        <is>
          <t>Type d'exercice</t>
        </is>
      </c>
      <c r="B15" s="3" t="inlineStr">
        <is>
          <t>Stat accordée
(record battu)</t>
        </is>
      </c>
      <c r="C15" s="3" t="inlineStr">
        <is>
          <t>Constante JS</t>
        </is>
      </c>
      <c r="D15" s="3" t="inlineStr">
        <is>
          <t>Exemples d'exercices</t>
        </is>
      </c>
    </row>
    <row r="16" ht="24" customHeight="1">
      <c r="A16" s="39" t="inlineStr">
        <is>
          <t>force</t>
        </is>
      </c>
      <c r="B16" s="57" t="inlineStr">
        <is>
          <t>Force (+1)</t>
        </is>
      </c>
      <c r="C16" s="40" t="inlineStr">
        <is>
          <t>statMap.force → 'force'</t>
        </is>
      </c>
      <c r="D16" s="58" t="inlineStr">
        <is>
          <t>Pompes, Squats, Développé épaules</t>
        </is>
      </c>
    </row>
    <row r="17" ht="24" customHeight="1">
      <c r="A17" s="43" t="inlineStr">
        <is>
          <t>endurance</t>
        </is>
      </c>
      <c r="B17" s="59" t="inlineStr">
        <is>
          <t>Défense (+1)</t>
        </is>
      </c>
      <c r="C17" s="44" t="inlineStr">
        <is>
          <t>statMap.endurance → 'defense'</t>
        </is>
      </c>
      <c r="D17" s="60" t="inlineStr">
        <is>
          <t>Tractions, Planche, Curl biceps</t>
        </is>
      </c>
    </row>
    <row r="18" ht="24" customHeight="1">
      <c r="A18" s="39" t="inlineStr">
        <is>
          <t>agility</t>
        </is>
      </c>
      <c r="B18" s="57" t="inlineStr">
        <is>
          <t>Vitesse (+1)</t>
        </is>
      </c>
      <c r="C18" s="40" t="inlineStr">
        <is>
          <t>statMap.agility → 'agility'</t>
        </is>
      </c>
      <c r="D18" s="58" t="inlineStr">
        <is>
          <t>Fentes, Burpees, Mountain climbers</t>
        </is>
      </c>
    </row>
    <row r="20" ht="26" customHeight="1">
      <c r="A20" s="61" t="inlineStr">
        <is>
          <t>💡  NOTE D'ÉQUILIBRAGE</t>
        </is>
      </c>
      <c r="B20" s="63" t="n"/>
      <c r="C20" s="63" t="n"/>
      <c r="D20" s="63" t="n"/>
      <c r="E20" s="64" t="n"/>
    </row>
    <row r="21" ht="20" customHeight="1">
      <c r="A21" s="62" t="inlineStr">
        <is>
          <t>Le bonus de dégâts record (records_bonus) s'accumule indéfiniment — un joueur assidu qui bat 20× son record sur les pompes aura +20 dégâts permanents sur cet exercice. C'est un système de récompense de la progression réelle. Si tu veux limiter l'avantage, tu peux envisager un plafond (ex : max +10 par exercice).</t>
        </is>
      </c>
    </row>
    <row r="22" ht="20" customHeight="1"/>
    <row r="23" ht="20" customHeight="1"/>
  </sheetData>
  <mergeCells count="7">
    <mergeCell ref="A4:E4"/>
    <mergeCell ref="A1:G1"/>
    <mergeCell ref="A20:E20"/>
    <mergeCell ref="A21:E23"/>
    <mergeCell ref="A2:G2"/>
    <mergeCell ref="A14:E14"/>
    <mergeCell ref="A9:E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F172A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9" t="inlineStr">
        <is>
          <t>RARETES</t>
        </is>
      </c>
      <c r="B1" s="19" t="inlineStr">
        <is>
          <t>ELEMENTS</t>
        </is>
      </c>
      <c r="C1" s="19" t="inlineStr">
        <is>
          <t>TYPES</t>
        </is>
      </c>
      <c r="D1" s="19" t="inlineStr">
        <is>
          <t>SLOTS</t>
        </is>
      </c>
      <c r="E1" s="19" t="inlineStr">
        <is>
          <t>EFFECTS</t>
        </is>
      </c>
      <c r="F1" s="19" t="inlineStr">
        <is>
          <t>REGIONS</t>
        </is>
      </c>
      <c r="G1" s="19" t="inlineStr">
        <is>
          <t>BOOL</t>
        </is>
      </c>
      <c r="H1" s="19" t="inlineStr">
        <is>
          <t>DROP_TYPE</t>
        </is>
      </c>
    </row>
    <row r="2">
      <c r="A2" s="20" t="inlineStr">
        <is>
          <t>common</t>
        </is>
      </c>
      <c r="B2" s="20" t="inlineStr">
        <is>
          <t>fire</t>
        </is>
      </c>
      <c r="C2" s="20" t="inlineStr">
        <is>
          <t>force</t>
        </is>
      </c>
      <c r="D2" s="20" t="inlineStr">
        <is>
          <t>weapon_main</t>
        </is>
      </c>
      <c r="E2" s="20" t="inlineStr">
        <is>
          <t>damage_flat</t>
        </is>
      </c>
      <c r="F2" s="20" t="inlineStr">
        <is>
          <t>foret</t>
        </is>
      </c>
      <c r="G2" s="20" t="inlineStr">
        <is>
          <t>TRUE</t>
        </is>
      </c>
      <c r="H2" s="20" t="inlineStr">
        <is>
          <t>material</t>
        </is>
      </c>
    </row>
    <row r="3">
      <c r="A3" s="21" t="inlineStr">
        <is>
          <t>rare</t>
        </is>
      </c>
      <c r="B3" s="21" t="inlineStr">
        <is>
          <t>wind</t>
        </is>
      </c>
      <c r="C3" s="21" t="inlineStr">
        <is>
          <t>agility</t>
        </is>
      </c>
      <c r="D3" s="21" t="inlineStr">
        <is>
          <t>weapon_secondary</t>
        </is>
      </c>
      <c r="E3" s="21" t="inlineStr">
        <is>
          <t>heal_flat</t>
        </is>
      </c>
      <c r="F3" s="21" t="inlineStr">
        <is>
          <t>marais</t>
        </is>
      </c>
      <c r="G3" s="21" t="inlineStr">
        <is>
          <t>FALSE</t>
        </is>
      </c>
      <c r="H3" s="21" t="inlineStr">
        <is>
          <t>ingredient</t>
        </is>
      </c>
    </row>
    <row r="4">
      <c r="A4" s="20" t="inlineStr">
        <is>
          <t>epic</t>
        </is>
      </c>
      <c r="B4" s="20" t="inlineStr">
        <is>
          <t>water</t>
        </is>
      </c>
      <c r="C4" s="20" t="inlineStr">
        <is>
          <t>endurance</t>
        </is>
      </c>
      <c r="D4" s="20" t="inlineStr">
        <is>
          <t>armor</t>
        </is>
      </c>
      <c r="E4" s="20" t="inlineStr">
        <is>
          <t>damage_percent</t>
        </is>
      </c>
      <c r="F4" s="20" t="inlineStr">
        <is>
          <t>caverne</t>
        </is>
      </c>
    </row>
    <row r="5">
      <c r="A5" s="21" t="inlineStr">
        <is>
          <t>legendary</t>
        </is>
      </c>
      <c r="B5" s="21" t="inlineStr">
        <is>
          <t>dark</t>
        </is>
      </c>
      <c r="D5" s="21" t="inlineStr">
        <is>
          <t>helmet</t>
        </is>
      </c>
      <c r="E5" s="21" t="inlineStr">
        <is>
          <t>shield</t>
        </is>
      </c>
    </row>
    <row r="6">
      <c r="B6" s="20" t="inlineStr">
        <is>
          <t>holy</t>
        </is>
      </c>
      <c r="D6" s="20" t="inlineStr">
        <is>
          <t>legs</t>
        </is>
      </c>
      <c r="E6" s="20" t="inlineStr">
        <is>
          <t>buff_force</t>
        </is>
      </c>
    </row>
    <row r="7">
      <c r="B7" s="21" t="inlineStr">
        <is>
          <t>earth</t>
        </is>
      </c>
      <c r="D7" s="21" t="inlineStr">
        <is>
          <t>cape</t>
        </is>
      </c>
      <c r="E7" s="21" t="inlineStr">
        <is>
          <t>buff_agility</t>
        </is>
      </c>
    </row>
    <row r="8">
      <c r="B8" s="20" t="inlineStr">
        <is>
          <t>ice</t>
        </is>
      </c>
      <c r="D8" s="20" t="inlineStr">
        <is>
          <t>accessory_1</t>
        </is>
      </c>
      <c r="E8" s="20" t="inlineStr">
        <is>
          <t>buff_endurance</t>
        </is>
      </c>
    </row>
    <row r="9">
      <c r="D9" s="21" t="inlineStr">
        <is>
          <t>accessory_2</t>
        </is>
      </c>
      <c r="E9" s="21" t="inlineStr">
        <is>
          <t>heal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DC2626"/>
    <outlinePr summaryBelow="1" summaryRight="1"/>
    <pageSetUpPr/>
  </sheetPr>
  <dimension ref="A1:F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6" customWidth="1" min="4" max="4"/>
    <col width="14" customWidth="1" min="5" max="5"/>
    <col width="50" customWidth="1" min="6" max="6"/>
  </cols>
  <sheetData>
    <row r="1" ht="40" customHeight="1">
      <c r="A1" s="65" t="inlineStr">
        <is>
          <t>⚔️  SYSTÈME DE COMBAT — Calcul des dégâts &amp; Simulateur</t>
        </is>
      </c>
    </row>
    <row r="2" ht="20" customHeight="1">
      <c r="A2" s="66" t="inlineStr">
        <is>
          <t>Cellules JAUNES = paramètres modifiables  |  Cellules BLEUES = formules  |  Cellules VERTES = résultats</t>
        </is>
      </c>
    </row>
    <row r="4" ht="28" customHeight="1">
      <c r="A4" s="67" t="inlineStr">
        <is>
          <t>🗡️  A. DÉGÂTS JOUEUR PAR EXERCICE</t>
        </is>
      </c>
    </row>
    <row r="5" ht="22" customHeight="1">
      <c r="A5" s="3" t="inlineStr">
        <is>
          <t>Étape</t>
        </is>
      </c>
      <c r="B5" s="3" t="inlineStr">
        <is>
          <t>Variable / Paramètre</t>
        </is>
      </c>
      <c r="C5" s="3" t="inlineStr">
        <is>
          <t>Valeur actuelle</t>
        </is>
      </c>
      <c r="D5" s="3" t="inlineStr">
        <is>
          <t>Exemple simulé</t>
        </is>
      </c>
      <c r="E5" s="3" t="inlineStr">
        <is>
          <t>Unité</t>
        </is>
      </c>
      <c r="F5" s="3" t="inlineStr">
        <is>
          <t>Explication</t>
        </is>
      </c>
    </row>
    <row r="6" ht="28" customHeight="1">
      <c r="A6" s="68" t="inlineStr">
        <is>
          <t>1. Base dommages</t>
        </is>
      </c>
      <c r="B6" s="69" t="inlineStr">
        <is>
          <t>exercise.baseDamage</t>
        </is>
      </c>
      <c r="C6" s="70" t="inlineStr">
        <is>
          <t>8–14</t>
        </is>
      </c>
      <c r="D6" s="70" t="n">
        <v>10</v>
      </c>
      <c r="E6" s="71" t="inlineStr">
        <is>
          <t>pts</t>
        </is>
      </c>
      <c r="F6" s="72" t="inlineStr">
        <is>
          <t>Défini par exercice (voir onglet Exercices). Pompes=8, Tractions=14</t>
        </is>
      </c>
    </row>
    <row r="7" ht="28" customHeight="1">
      <c r="A7" s="55" t="inlineStr">
        <is>
          <t>+ Bonus records</t>
        </is>
      </c>
      <c r="B7" s="44" t="inlineStr">
        <is>
          <t>records_bonus[exerciceId]</t>
        </is>
      </c>
      <c r="C7" s="70" t="inlineStr">
        <is>
          <t>0 → ∞</t>
        </is>
      </c>
      <c r="D7" s="70" t="n">
        <v>3</v>
      </c>
      <c r="E7" s="48" t="inlineStr">
        <is>
          <t>pts</t>
        </is>
      </c>
      <c r="F7" s="45" t="inlineStr">
        <is>
          <t>+1 à chaque record battu sur cet exercice. Cumulatif à vie.</t>
        </is>
      </c>
    </row>
    <row r="8" ht="28" customHeight="1">
      <c r="A8" s="68" t="inlineStr">
        <is>
          <t>× Séries (sets)</t>
        </is>
      </c>
      <c r="B8" s="69" t="inlineStr">
        <is>
          <t>sets</t>
        </is>
      </c>
      <c r="C8" s="70" t="inlineStr">
        <is>
          <t>3–4</t>
        </is>
      </c>
      <c r="D8" s="70" t="n">
        <v>3</v>
      </c>
      <c r="E8" s="71" t="inlineStr">
        <is>
          <t>×</t>
        </is>
      </c>
      <c r="F8" s="72" t="inlineStr">
        <is>
          <t>Nombre de séries effectuées. Ex : 3 séries = ×3</t>
        </is>
      </c>
    </row>
    <row r="9" ht="28" customHeight="1">
      <c r="A9" s="55" t="inlineStr">
        <is>
          <t>× Multiplicateur volume</t>
        </is>
      </c>
      <c r="B9" s="44" t="inlineStr">
        <is>
          <t>repsOrSec / baseUnit</t>
        </is>
      </c>
      <c r="C9" s="70" t="inlineStr">
        <is>
          <t>variable</t>
        </is>
      </c>
      <c r="D9" s="70" t="n">
        <v>1.2</v>
      </c>
      <c r="E9" s="48" t="inlineStr">
        <is>
          <t>×</t>
        </is>
      </c>
      <c r="F9" s="45" t="inlineStr">
        <is>
          <t>Si reps : reps/10. Si secondes : sec/30. Ex: 12 reps → 12/10 = ×1.2</t>
        </is>
      </c>
    </row>
    <row r="10" ht="28" customHeight="1">
      <c r="A10" s="68" t="inlineStr">
        <is>
          <t>+ Bonus poids (si haltères)</t>
        </is>
      </c>
      <c r="B10" s="69" t="inlineStr">
        <is>
          <t>weight × 0.3</t>
        </is>
      </c>
      <c r="C10" s="70" t="inlineStr">
        <is>
          <t>si poids</t>
        </is>
      </c>
      <c r="D10" s="70" t="n">
        <v>0</v>
      </c>
      <c r="E10" s="71" t="inlineStr">
        <is>
          <t>pts</t>
        </is>
      </c>
      <c r="F10" s="72" t="inlineStr">
        <is>
          <t>Seulement si hasWeight=true. Ex: 20kg → +6 dégâts</t>
        </is>
      </c>
    </row>
    <row r="11" ht="28" customHeight="1">
      <c r="A11" s="55" t="inlineStr">
        <is>
          <t>× Force équipement</t>
        </is>
      </c>
      <c r="B11" s="44" t="inlineStr">
        <is>
          <t>1 + equipBonus.force / 200</t>
        </is>
      </c>
      <c r="C11" s="70" t="inlineStr">
        <is>
          <t>≥1.0</t>
        </is>
      </c>
      <c r="D11" s="70" t="n">
        <v>1.05</v>
      </c>
      <c r="E11" s="48" t="inlineStr">
        <is>
          <t>×</t>
        </is>
      </c>
      <c r="F11" s="45" t="inlineStr">
        <is>
          <t>Ex: +10 Force via équipement → ×1.05. Max utile ~+200 Force = ×2.0</t>
        </is>
      </c>
    </row>
    <row r="12" ht="28" customHeight="1">
      <c r="A12" s="73" t="inlineStr">
        <is>
          <t>× Matchup type</t>
        </is>
      </c>
      <c r="B12" s="74" t="inlineStr">
        <is>
          <t>matchupMultiplier</t>
        </is>
      </c>
      <c r="C12" s="70" t="inlineStr">
        <is>
          <t>0.67–1.5</t>
        </is>
      </c>
      <c r="D12" s="75" t="inlineStr">
        <is>
          <t>1.0</t>
        </is>
      </c>
      <c r="E12" s="75" t="inlineStr">
        <is>
          <t>×</t>
        </is>
      </c>
      <c r="F12" s="76" t="inlineStr">
        <is>
          <t>Avantage type : ×1.5 (+50%). Désavantage : ×0.67 (−33%). Neutre : ×1.0</t>
        </is>
      </c>
    </row>
    <row r="13" ht="28" customHeight="1">
      <c r="A13" s="73" t="inlineStr">
        <is>
          <t>× Élément arme/boss</t>
        </is>
      </c>
      <c r="B13" s="74" t="inlineStr">
        <is>
          <t>elementMultiplier</t>
        </is>
      </c>
      <c r="C13" s="70" t="inlineStr">
        <is>
          <t>0.75–1.3</t>
        </is>
      </c>
      <c r="D13" s="75" t="inlineStr">
        <is>
          <t>1.0</t>
        </is>
      </c>
      <c r="E13" s="75" t="inlineStr">
        <is>
          <t>×</t>
        </is>
      </c>
      <c r="F13" s="76" t="inlineStr">
        <is>
          <t>Avantage élément : ×1.25. Désavantage : ×0.75. Holy↔Dark : ×1.3</t>
        </is>
      </c>
    </row>
    <row r="14" ht="28" customHeight="1">
      <c r="A14" s="73" t="inlineStr">
        <is>
          <t>× Réduction défense boss</t>
        </is>
      </c>
      <c r="B14" s="74" t="inlineStr">
        <is>
          <t>100 / (100 + boss.defense)</t>
        </is>
      </c>
      <c r="C14" s="70" t="inlineStr">
        <is>
          <t>0.5–1.0</t>
        </is>
      </c>
      <c r="D14" s="75" t="inlineStr">
        <is>
          <t>0.74</t>
        </is>
      </c>
      <c r="E14" s="75" t="inlineStr">
        <is>
          <t>×</t>
        </is>
      </c>
      <c r="F14" s="76" t="inlineStr">
        <is>
          <t>Ex: boss.defense=35 → 100/135 = ×0.74. Soft-cap naturel.</t>
        </is>
      </c>
    </row>
    <row r="15" ht="28" customHeight="1">
      <c r="A15" s="77" t="inlineStr">
        <is>
          <t>× Compétence (skill)</t>
        </is>
      </c>
      <c r="B15" s="78" t="inlineStr">
        <is>
          <t>×2.0 si skill activé</t>
        </is>
      </c>
      <c r="C15" s="70" t="inlineStr">
        <is>
          <t>1.0 ou 2.0</t>
        </is>
      </c>
      <c r="D15" s="79" t="inlineStr">
        <is>
          <t>1.0</t>
        </is>
      </c>
      <c r="E15" s="79" t="inlineStr">
        <is>
          <t>×</t>
        </is>
      </c>
      <c r="F15" s="80" t="inlineStr">
        <is>
          <t>Le joueur peut activer sa compétence 1× par combat → dégâts doublés</t>
        </is>
      </c>
    </row>
    <row r="16" ht="28" customHeight="1">
      <c r="A16" s="77" t="inlineStr">
        <is>
          <t>× Critique</t>
        </is>
      </c>
      <c r="B16" s="78" t="inlineStr">
        <is>
          <t>critMult si isCrit</t>
        </is>
      </c>
      <c r="C16" s="70" t="inlineStr">
        <is>
          <t>1.4–2.5</t>
        </is>
      </c>
      <c r="D16" s="70" t="n">
        <v>1</v>
      </c>
      <c r="E16" s="79" t="inlineStr">
        <is>
          <t>×</t>
        </is>
      </c>
      <c r="F16" s="80" t="inlineStr">
        <is>
          <t>Si critique déclenché. Multiplicateur = min(2.5, 1.4 + Speed×0.005)</t>
        </is>
      </c>
    </row>
    <row r="17" ht="28" customHeight="1">
      <c r="A17" s="81">
        <f> RÉSULTAT</f>
        <v/>
      </c>
      <c r="B17" s="82" t="inlineStr">
        <is>
          <t>max(1, round(dmg))</t>
        </is>
      </c>
      <c r="C17" s="70" t="inlineStr">
        <is>
          <t>—</t>
        </is>
      </c>
      <c r="D17" s="83" t="inlineStr">
        <is>
          <t>≈ 34</t>
        </is>
      </c>
      <c r="E17" s="84" t="inlineStr">
        <is>
          <t>pts</t>
        </is>
      </c>
      <c r="F17" s="85" t="inlineStr">
        <is>
          <t>Dégâts finaux infligés au boss, minimum 1</t>
        </is>
      </c>
    </row>
    <row r="19" ht="28" customHeight="1">
      <c r="A19" s="53" t="inlineStr">
        <is>
          <t>⚡  B. COUP CRITIQUE</t>
        </is>
      </c>
    </row>
    <row r="20" ht="22" customHeight="1">
      <c r="A20" s="3" t="inlineStr">
        <is>
          <t>Variable</t>
        </is>
      </c>
      <c r="B20" s="3" t="inlineStr">
        <is>
          <t>Formule</t>
        </is>
      </c>
      <c r="C20" s="3" t="inlineStr">
        <is>
          <t>Valeur</t>
        </is>
      </c>
      <c r="D20" s="3" t="inlineStr">
        <is>
          <t>—</t>
        </is>
      </c>
      <c r="E20" s="3" t="inlineStr">
        <is>
          <t>Unité</t>
        </is>
      </c>
      <c r="F20" s="3" t="inlineStr">
        <is>
          <t>Explication</t>
        </is>
      </c>
    </row>
    <row r="21" ht="24" customHeight="1">
      <c r="A21" s="39" t="inlineStr">
        <is>
          <t>Vitesse totale</t>
        </is>
      </c>
      <c r="B21" s="86" t="inlineStr">
        <is>
          <t>agility + equipBonus.agility</t>
        </is>
      </c>
      <c r="C21" s="87" t="inlineStr">
        <is>
          <t>variable</t>
        </is>
      </c>
      <c r="D21" s="49" t="inlineStr">
        <is>
          <t>—</t>
        </is>
      </c>
      <c r="E21" s="49" t="inlineStr">
        <is>
          <t>pts</t>
        </is>
      </c>
      <c r="F21" s="42" t="inlineStr">
        <is>
          <t>Stat vitesse du joueur + bonus des équipements</t>
        </is>
      </c>
    </row>
    <row r="22" ht="24" customHeight="1">
      <c r="A22" s="43" t="inlineStr">
        <is>
          <t>Chance de critique</t>
        </is>
      </c>
      <c r="B22" s="86" t="inlineStr">
        <is>
          <t>min(40%, 5% + Speed × 0.5%)</t>
        </is>
      </c>
      <c r="C22" s="87" t="inlineStr">
        <is>
          <t>5% → 40%</t>
        </is>
      </c>
      <c r="D22" s="48" t="inlineStr">
        <is>
          <t>—</t>
        </is>
      </c>
      <c r="E22" s="48" t="inlineStr">
        <is>
          <t>%</t>
        </is>
      </c>
      <c r="F22" s="45" t="inlineStr">
        <is>
          <t>Ex: Speed=20 → 5 + 20×0.5 = 15%. Plafonné à 40%</t>
        </is>
      </c>
    </row>
    <row r="23" ht="24" customHeight="1">
      <c r="A23" s="39" t="inlineStr">
        <is>
          <t>Multiplicateur critique</t>
        </is>
      </c>
      <c r="B23" s="86" t="inlineStr">
        <is>
          <t>min(2.5, 1.4 + Speed × 0.005)</t>
        </is>
      </c>
      <c r="C23" s="87" t="inlineStr">
        <is>
          <t>1.40 → 2.50</t>
        </is>
      </c>
      <c r="D23" s="49" t="inlineStr">
        <is>
          <t>—</t>
        </is>
      </c>
      <c r="E23" s="49" t="inlineStr">
        <is>
          <t>×</t>
        </is>
      </c>
      <c r="F23" s="42" t="inlineStr">
        <is>
          <t>Ex: Speed=50 → 1.4 + 0.25 = ×1.65. Max=×2.5 (atteint à Speed=220)</t>
        </is>
      </c>
    </row>
    <row r="25" ht="28" customHeight="1">
      <c r="A25" s="88" t="inlineStr">
        <is>
          <t>🐉  C. CONTRE-ATTAQUE DU BOSS</t>
        </is>
      </c>
    </row>
    <row r="26" ht="22" customHeight="1">
      <c r="A26" s="3" t="inlineStr">
        <is>
          <t>Variable</t>
        </is>
      </c>
      <c r="B26" s="3" t="inlineStr">
        <is>
          <t>Formule</t>
        </is>
      </c>
      <c r="C26" s="3" t="inlineStr">
        <is>
          <t>Valeur</t>
        </is>
      </c>
      <c r="D26" s="3" t="inlineStr">
        <is>
          <t>—</t>
        </is>
      </c>
      <c r="E26" s="3" t="inlineStr">
        <is>
          <t>Unité</t>
        </is>
      </c>
      <c r="F26" s="3" t="inlineStr">
        <is>
          <t>Explication</t>
        </is>
      </c>
    </row>
    <row r="27" ht="24" customHeight="1">
      <c r="A27" s="54" t="inlineStr">
        <is>
          <t>Défense totale joueur</t>
        </is>
      </c>
      <c r="B27" s="86" t="inlineStr">
        <is>
          <t>defense + equipBonus.defense</t>
        </is>
      </c>
      <c r="C27" s="89" t="inlineStr">
        <is>
          <t>variable</t>
        </is>
      </c>
      <c r="D27" s="49" t="inlineStr">
        <is>
          <t>—</t>
        </is>
      </c>
      <c r="E27" s="49" t="inlineStr">
        <is>
          <t>pts</t>
        </is>
      </c>
      <c r="F27" s="42" t="inlineStr">
        <is>
          <t>Stat défense du joueur + défense des équipements</t>
        </is>
      </c>
    </row>
    <row r="28" ht="24" customHeight="1">
      <c r="A28" s="55" t="inlineStr">
        <is>
          <t>Réduction dégâts</t>
        </is>
      </c>
      <c r="B28" s="86" t="inlineStr">
        <is>
          <t>min(70%, totalDef / (totalDef + 50))</t>
        </is>
      </c>
      <c r="C28" s="89" t="inlineStr">
        <is>
          <t>0% → 70%</t>
        </is>
      </c>
      <c r="D28" s="48" t="inlineStr">
        <is>
          <t>—</t>
        </is>
      </c>
      <c r="E28" s="48" t="inlineStr">
        <is>
          <t>%</t>
        </is>
      </c>
      <c r="F28" s="45" t="inlineStr">
        <is>
          <t>Ex: Défense=50 → 50/100 = 50% de réduction. Plafond dur à 70%</t>
        </is>
      </c>
    </row>
    <row r="29" ht="24" customHeight="1">
      <c r="A29" s="54" t="inlineStr">
        <is>
          <t>Dégâts bruts boss</t>
        </is>
      </c>
      <c r="B29" s="86" t="inlineStr">
        <is>
          <t>boss.attack × (0.85 + rand × 0.3)</t>
        </is>
      </c>
      <c r="C29" s="89" t="inlineStr">
        <is>
          <t>±15%</t>
        </is>
      </c>
      <c r="D29" s="49" t="inlineStr">
        <is>
          <t>—</t>
        </is>
      </c>
      <c r="E29" s="49" t="inlineStr">
        <is>
          <t>pts</t>
        </is>
      </c>
      <c r="F29" s="42" t="inlineStr">
        <is>
          <t>Variation aléatoire ±15% autour de boss.attack. Ex: attack=42 → 36–55</t>
        </is>
      </c>
    </row>
    <row r="30" ht="24" customHeight="1">
      <c r="A30" s="81">
        <f> Dégâts reçus</f>
        <v/>
      </c>
      <c r="B30" s="86" t="inlineStr">
        <is>
          <t>max(1, round(raw × (1 − réduction)))</t>
        </is>
      </c>
      <c r="C30" s="83" t="inlineStr">
        <is>
          <t>≥1</t>
        </is>
      </c>
      <c r="D30" s="48" t="inlineStr">
        <is>
          <t>—</t>
        </is>
      </c>
      <c r="E30" s="48" t="inlineStr">
        <is>
          <t>pts</t>
        </is>
      </c>
      <c r="F30" s="45" t="inlineStr">
        <is>
          <t>Ex: 42 atk, 50% réduction → ~21 dégâts reçus</t>
        </is>
      </c>
    </row>
    <row r="32" ht="28" customHeight="1">
      <c r="A32" s="90" t="inlineStr">
        <is>
          <t>✨  D. SORTS (effets en combat)</t>
        </is>
      </c>
    </row>
    <row r="33" ht="22" customHeight="1">
      <c r="A33" s="3" t="inlineStr">
        <is>
          <t>Type d'effet</t>
        </is>
      </c>
      <c r="B33" s="3" t="inlineStr">
        <is>
          <t>Formule</t>
        </is>
      </c>
      <c r="C33" s="3" t="inlineStr">
        <is>
          <t>Variable</t>
        </is>
      </c>
      <c r="D33" s="3" t="inlineStr">
        <is>
          <t>—</t>
        </is>
      </c>
      <c r="E33" s="3" t="inlineStr">
        <is>
          <t>Unité</t>
        </is>
      </c>
      <c r="F33" s="3" t="inlineStr">
        <is>
          <t>Explication</t>
        </is>
      </c>
    </row>
    <row r="34" ht="24" customHeight="1">
      <c r="A34" s="91" t="inlineStr">
        <is>
          <t>damage_flat</t>
        </is>
      </c>
      <c r="B34" s="86" t="inlineStr">
        <is>
          <t>spell.value × elementMult(sort→boss)</t>
        </is>
      </c>
      <c r="C34" s="92" t="inlineStr">
        <is>
          <t>spell.value</t>
        </is>
      </c>
      <c r="D34" s="49" t="inlineStr">
        <is>
          <t>—</t>
        </is>
      </c>
      <c r="E34" s="49" t="inlineStr">
        <is>
          <t>pts</t>
        </is>
      </c>
      <c r="F34" s="42" t="inlineStr">
        <is>
          <t>Dégâts directs. L'élément du sort est comparé à l'élément du boss</t>
        </is>
      </c>
    </row>
    <row r="35" ht="24" customHeight="1">
      <c r="A35" s="93" t="inlineStr">
        <is>
          <t>heal_flat</t>
        </is>
      </c>
      <c r="B35" s="86" t="inlineStr">
        <is>
          <t>min(constitution, hp_current + spell.value)</t>
        </is>
      </c>
      <c r="C35" s="92" t="inlineStr">
        <is>
          <t>spell.value</t>
        </is>
      </c>
      <c r="D35" s="48" t="inlineStr">
        <is>
          <t>—</t>
        </is>
      </c>
      <c r="E35" s="48" t="inlineStr">
        <is>
          <t>PV</t>
        </is>
      </c>
      <c r="F35" s="45" t="inlineStr">
        <is>
          <t>Soin plafonné aux PV max du joueur (= constitution)</t>
        </is>
      </c>
    </row>
    <row r="36" ht="24" customHeight="1">
      <c r="A36" s="91" t="inlineStr">
        <is>
          <t>Limitation oncePerCombat</t>
        </is>
      </c>
      <c r="B36" s="86" t="inlineStr">
        <is>
          <t>Bloqué si déjà lancé ce combat</t>
        </is>
      </c>
      <c r="C36" s="92" t="inlineStr">
        <is>
          <t>true/false</t>
        </is>
      </c>
      <c r="D36" s="49" t="inlineStr">
        <is>
          <t>—</t>
        </is>
      </c>
      <c r="E36" s="49" t="inlineStr">
        <is>
          <t>—</t>
        </is>
      </c>
      <c r="F36" s="42" t="inlineStr">
        <is>
          <t>Si oncePerCombat=true, le sort ne peut être utilisé qu'une fois par boss</t>
        </is>
      </c>
    </row>
    <row r="38" ht="28" customHeight="1">
      <c r="A38" s="47" t="inlineStr">
        <is>
          <t>📊  E. TABLE COMPLÈTE DES MULTIPLICATEURS</t>
        </is>
      </c>
    </row>
    <row r="39" ht="22" customHeight="1">
      <c r="A39" s="3" t="inlineStr">
        <is>
          <t>Catégorie</t>
        </is>
      </c>
      <c r="B39" s="3" t="inlineStr">
        <is>
          <t>Situation</t>
        </is>
      </c>
      <c r="C39" s="3" t="inlineStr">
        <is>
          <t>Multiplicateur</t>
        </is>
      </c>
      <c r="D39" s="3" t="inlineStr">
        <is>
          <t>Effet sur dégâts</t>
        </is>
      </c>
      <c r="E39" s="3" t="inlineStr">
        <is>
          <t>—</t>
        </is>
      </c>
      <c r="F39" s="3" t="inlineStr">
        <is>
          <t>Source code</t>
        </is>
      </c>
    </row>
    <row r="40" ht="20" customHeight="1">
      <c r="A40" s="94" t="inlineStr">
        <is>
          <t>Matchup type</t>
        </is>
      </c>
      <c r="B40" s="73" t="inlineStr">
        <is>
          <t>Avantage (ex: Force vs boss Agility)</t>
        </is>
      </c>
      <c r="C40" s="89" t="inlineStr">
        <is>
          <t>× 1.50</t>
        </is>
      </c>
      <c r="D40" s="95" t="inlineStr">
        <is>
          <t>+50%</t>
        </is>
      </c>
      <c r="E40" s="75" t="inlineStr">
        <is>
          <t>—</t>
        </is>
      </c>
      <c r="F40" s="76" t="inlineStr">
        <is>
          <t>MATCHUP_ADVANTAGE_MULT = 1.5</t>
        </is>
      </c>
    </row>
    <row r="41" ht="20" customHeight="1">
      <c r="A41" s="94" t="inlineStr">
        <is>
          <t>Matchup type</t>
        </is>
      </c>
      <c r="B41" s="73" t="inlineStr">
        <is>
          <t>Neutre</t>
        </is>
      </c>
      <c r="C41" s="89" t="inlineStr">
        <is>
          <t>× 1.00</t>
        </is>
      </c>
      <c r="D41" s="96" t="inlineStr">
        <is>
          <t>—</t>
        </is>
      </c>
      <c r="E41" s="75" t="inlineStr">
        <is>
          <t>—</t>
        </is>
      </c>
      <c r="F41" s="76" t="inlineStr">
        <is>
          <t>matchupMultiplier → 1.0</t>
        </is>
      </c>
    </row>
    <row r="42" ht="20" customHeight="1">
      <c r="A42" s="94" t="inlineStr">
        <is>
          <t>Matchup type</t>
        </is>
      </c>
      <c r="B42" s="73" t="inlineStr">
        <is>
          <t>Désavantage</t>
        </is>
      </c>
      <c r="C42" s="89" t="inlineStr">
        <is>
          <t>× 0.67</t>
        </is>
      </c>
      <c r="D42" s="97" t="inlineStr">
        <is>
          <t>−33%</t>
        </is>
      </c>
      <c r="E42" s="75" t="inlineStr">
        <is>
          <t>—</t>
        </is>
      </c>
      <c r="F42" s="76" t="inlineStr">
        <is>
          <t>MATCHUP_WEAK_MULT = 1/1.5</t>
        </is>
      </c>
    </row>
    <row r="43" ht="20" customHeight="1">
      <c r="A43" s="98" t="inlineStr">
        <is>
          <t>Élément</t>
        </is>
      </c>
      <c r="B43" s="99" t="inlineStr">
        <is>
          <t>Contre-élément (ex: Feu bat Vent)</t>
        </is>
      </c>
      <c r="C43" s="100" t="inlineStr">
        <is>
          <t>× 1.25</t>
        </is>
      </c>
      <c r="D43" s="95" t="inlineStr">
        <is>
          <t>+25%</t>
        </is>
      </c>
      <c r="E43" s="101" t="inlineStr">
        <is>
          <t>—</t>
        </is>
      </c>
      <c r="F43" s="102" t="inlineStr">
        <is>
          <t>ELEMENT_COUNTERS cycle</t>
        </is>
      </c>
    </row>
    <row r="44" ht="20" customHeight="1">
      <c r="A44" s="98" t="inlineStr">
        <is>
          <t>Élément</t>
        </is>
      </c>
      <c r="B44" s="99" t="inlineStr">
        <is>
          <t>Neutre (pas de relation)</t>
        </is>
      </c>
      <c r="C44" s="100" t="inlineStr">
        <is>
          <t>× 1.00</t>
        </is>
      </c>
      <c r="D44" s="103" t="inlineStr">
        <is>
          <t>—</t>
        </is>
      </c>
      <c r="E44" s="101" t="inlineStr">
        <is>
          <t>—</t>
        </is>
      </c>
      <c r="F44" s="102" t="inlineStr">
        <is>
          <t>elementMultiplier → 1.0</t>
        </is>
      </c>
    </row>
    <row r="45" ht="20" customHeight="1">
      <c r="A45" s="98" t="inlineStr">
        <is>
          <t>Élément</t>
        </is>
      </c>
      <c r="B45" s="99" t="inlineStr">
        <is>
          <t>Faiblesse (élément adverse vous contre)</t>
        </is>
      </c>
      <c r="C45" s="100" t="inlineStr">
        <is>
          <t>× 0.75</t>
        </is>
      </c>
      <c r="D45" s="97" t="inlineStr">
        <is>
          <t>−25%</t>
        </is>
      </c>
      <c r="E45" s="101" t="inlineStr">
        <is>
          <t>—</t>
        </is>
      </c>
      <c r="F45" s="102" t="inlineStr">
        <is>
          <t>ELEMENT_COUNTERS inverse</t>
        </is>
      </c>
    </row>
    <row r="46" ht="20" customHeight="1">
      <c r="A46" s="98" t="inlineStr">
        <is>
          <t>Élément</t>
        </is>
      </c>
      <c r="B46" s="99" t="inlineStr">
        <is>
          <t>Holy vs Dark (ou Dark vs Holy)</t>
        </is>
      </c>
      <c r="C46" s="100" t="inlineStr">
        <is>
          <t>× 1.30</t>
        </is>
      </c>
      <c r="D46" s="95" t="inlineStr">
        <is>
          <t>+30%</t>
        </is>
      </c>
      <c r="E46" s="101" t="inlineStr">
        <is>
          <t>—</t>
        </is>
      </c>
      <c r="F46" s="102" t="inlineStr">
        <is>
          <t>Cas spécial Holy/Dark</t>
        </is>
      </c>
    </row>
    <row r="47" ht="20" customHeight="1">
      <c r="A47" s="104" t="inlineStr">
        <is>
          <t>Compétence</t>
        </is>
      </c>
      <c r="B47" s="77" t="inlineStr">
        <is>
          <t>Skill activé ce tour</t>
        </is>
      </c>
      <c r="C47" s="87" t="inlineStr">
        <is>
          <t>× 2.00</t>
        </is>
      </c>
      <c r="D47" s="105" t="inlineStr">
        <is>
          <t>×2 dmg</t>
        </is>
      </c>
      <c r="E47" s="79" t="inlineStr">
        <is>
          <t>—</t>
        </is>
      </c>
      <c r="F47" s="80" t="inlineStr">
        <is>
          <t>options.skill → ×2</t>
        </is>
      </c>
    </row>
    <row r="48" ht="20" customHeight="1">
      <c r="A48" s="104" t="inlineStr">
        <is>
          <t>Compétence</t>
        </is>
      </c>
      <c r="B48" s="77" t="inlineStr">
        <is>
          <t>Skill non activé</t>
        </is>
      </c>
      <c r="C48" s="87" t="inlineStr">
        <is>
          <t>× 1.00</t>
        </is>
      </c>
      <c r="D48" s="106" t="inlineStr">
        <is>
          <t>—</t>
        </is>
      </c>
      <c r="E48" s="79" t="inlineStr">
        <is>
          <t>—</t>
        </is>
      </c>
      <c r="F48" s="80" t="inlineStr">
        <is>
          <t>normal</t>
        </is>
      </c>
    </row>
    <row r="49" ht="20" customHeight="1">
      <c r="A49" s="104" t="inlineStr">
        <is>
          <t>Critique</t>
        </is>
      </c>
      <c r="B49" s="77" t="inlineStr">
        <is>
          <t>Coup critique (aléatoire)</t>
        </is>
      </c>
      <c r="C49" s="87" t="inlineStr">
        <is>
          <t>× 1.4–2.5</t>
        </is>
      </c>
      <c r="D49" s="105" t="inlineStr">
        <is>
          <t>varie</t>
        </is>
      </c>
      <c r="E49" s="79" t="inlineStr">
        <is>
          <t>—</t>
        </is>
      </c>
      <c r="F49" s="80" t="inlineStr">
        <is>
          <t>critMult (dépend de Speed)</t>
        </is>
      </c>
    </row>
    <row r="50" ht="20" customHeight="1">
      <c r="A50" s="104" t="inlineStr">
        <is>
          <t>Critique</t>
        </is>
      </c>
      <c r="B50" s="77" t="inlineStr">
        <is>
          <t>Pas de critique</t>
        </is>
      </c>
      <c r="C50" s="87" t="inlineStr">
        <is>
          <t>× 1.00</t>
        </is>
      </c>
      <c r="D50" s="106" t="inlineStr">
        <is>
          <t>—</t>
        </is>
      </c>
      <c r="E50" s="79" t="inlineStr">
        <is>
          <t>—</t>
        </is>
      </c>
      <c r="F50" s="80" t="inlineStr">
        <is>
          <t>aucun</t>
        </is>
      </c>
    </row>
    <row r="51" ht="20" customHeight="1">
      <c r="A51" s="107" t="inlineStr">
        <is>
          <t>Défense boss</t>
        </is>
      </c>
      <c r="B51" s="68" t="inlineStr">
        <is>
          <t>boss.defense = 0</t>
        </is>
      </c>
      <c r="C51" s="97" t="inlineStr">
        <is>
          <t>× 1.00</t>
        </is>
      </c>
      <c r="D51" s="108" t="inlineStr">
        <is>
          <t>—</t>
        </is>
      </c>
      <c r="E51" s="71" t="inlineStr">
        <is>
          <t>—</t>
        </is>
      </c>
      <c r="F51" s="72" t="inlineStr">
        <is>
          <t>100/(100+0)</t>
        </is>
      </c>
    </row>
    <row r="52" ht="20" customHeight="1">
      <c r="A52" s="107" t="inlineStr">
        <is>
          <t>Défense boss</t>
        </is>
      </c>
      <c r="B52" s="68" t="inlineStr">
        <is>
          <t>boss.defense = 25 (faible)</t>
        </is>
      </c>
      <c r="C52" s="97" t="inlineStr">
        <is>
          <t>× 0.80</t>
        </is>
      </c>
      <c r="D52" s="97" t="inlineStr">
        <is>
          <t>−20%</t>
        </is>
      </c>
      <c r="E52" s="71" t="inlineStr">
        <is>
          <t>—</t>
        </is>
      </c>
      <c r="F52" s="72" t="inlineStr">
        <is>
          <t>100/(100+25)</t>
        </is>
      </c>
    </row>
    <row r="53" ht="20" customHeight="1">
      <c r="A53" s="107" t="inlineStr">
        <is>
          <t>Défense boss</t>
        </is>
      </c>
      <c r="B53" s="68" t="inlineStr">
        <is>
          <t>boss.defense = 50 (moyen)</t>
        </is>
      </c>
      <c r="C53" s="97" t="inlineStr">
        <is>
          <t>× 0.67</t>
        </is>
      </c>
      <c r="D53" s="97" t="inlineStr">
        <is>
          <t>−33%</t>
        </is>
      </c>
      <c r="E53" s="71" t="inlineStr">
        <is>
          <t>—</t>
        </is>
      </c>
      <c r="F53" s="72" t="inlineStr">
        <is>
          <t>100/(100+50)</t>
        </is>
      </c>
    </row>
    <row r="54" ht="20" customHeight="1">
      <c r="A54" s="107" t="inlineStr">
        <is>
          <t>Défense boss</t>
        </is>
      </c>
      <c r="B54" s="68" t="inlineStr">
        <is>
          <t>boss.defense = 100 (élevé)</t>
        </is>
      </c>
      <c r="C54" s="97" t="inlineStr">
        <is>
          <t>× 0.50</t>
        </is>
      </c>
      <c r="D54" s="97" t="inlineStr">
        <is>
          <t>−50%</t>
        </is>
      </c>
      <c r="E54" s="71" t="inlineStr">
        <is>
          <t>—</t>
        </is>
      </c>
      <c r="F54" s="72" t="inlineStr">
        <is>
          <t>100/(100+100)</t>
        </is>
      </c>
    </row>
    <row r="56" ht="28" customHeight="1">
      <c r="A56" s="46" t="inlineStr">
        <is>
          <t>🧮  F. SIMULATEUR DE DÉGÂTS  (remplis les cellules jaunes)</t>
        </is>
      </c>
    </row>
    <row r="57" ht="22" customHeight="1">
      <c r="A57" s="3" t="inlineStr">
        <is>
          <t>Paramètre</t>
        </is>
      </c>
      <c r="B57" s="3" t="inlineStr">
        <is>
          <t>Valeur</t>
        </is>
      </c>
      <c r="C57" s="3" t="inlineStr">
        <is>
          <t>—</t>
        </is>
      </c>
      <c r="D57" s="3" t="inlineStr">
        <is>
          <t>—</t>
        </is>
      </c>
      <c r="E57" s="3" t="inlineStr">
        <is>
          <t>—</t>
        </is>
      </c>
      <c r="F57" s="3" t="inlineStr">
        <is>
          <t>Note</t>
        </is>
      </c>
    </row>
    <row r="58" ht="22" customHeight="1">
      <c r="A58" s="39" t="inlineStr">
        <is>
          <t>baseDamage (exercice)</t>
        </is>
      </c>
      <c r="B58" s="70" t="n">
        <v>10</v>
      </c>
      <c r="C58" s="49" t="inlineStr">
        <is>
          <t>pts</t>
        </is>
      </c>
      <c r="D58" s="49" t="inlineStr">
        <is>
          <t>—</t>
        </is>
      </c>
      <c r="E58" s="49" t="inlineStr">
        <is>
          <t>—</t>
        </is>
      </c>
      <c r="F58" s="42" t="inlineStr">
        <is>
          <t>Ex: Pompes=8, Tractions=14</t>
        </is>
      </c>
    </row>
    <row r="59" ht="22" customHeight="1">
      <c r="A59" s="43" t="inlineStr">
        <is>
          <t>recordBonus (records battus)</t>
        </is>
      </c>
      <c r="B59" s="70" t="n">
        <v>0</v>
      </c>
      <c r="C59" s="48" t="inlineStr">
        <is>
          <t>pts</t>
        </is>
      </c>
      <c r="D59" s="48" t="inlineStr">
        <is>
          <t>—</t>
        </is>
      </c>
      <c r="E59" s="48" t="inlineStr">
        <is>
          <t>—</t>
        </is>
      </c>
      <c r="F59" s="45" t="inlineStr">
        <is>
          <t>+1 par record battu sur cet exercice</t>
        </is>
      </c>
    </row>
    <row r="60" ht="22" customHeight="1">
      <c r="A60" s="39" t="inlineStr">
        <is>
          <t>sets (séries)</t>
        </is>
      </c>
      <c r="B60" s="70" t="n">
        <v>3</v>
      </c>
      <c r="C60" s="49" t="inlineStr">
        <is>
          <t>×</t>
        </is>
      </c>
      <c r="D60" s="49" t="inlineStr">
        <is>
          <t>—</t>
        </is>
      </c>
      <c r="E60" s="49" t="inlineStr">
        <is>
          <t>—</t>
        </is>
      </c>
      <c r="F60" s="42" t="inlineStr"/>
    </row>
    <row r="61" ht="22" customHeight="1">
      <c r="A61" s="43" t="inlineStr">
        <is>
          <t>repsOrSec (reps ou sec)</t>
        </is>
      </c>
      <c r="B61" s="70" t="n">
        <v>12</v>
      </c>
      <c r="C61" s="48" t="inlineStr">
        <is>
          <t>—</t>
        </is>
      </c>
      <c r="D61" s="48" t="inlineStr">
        <is>
          <t>—</t>
        </is>
      </c>
      <c r="E61" s="48" t="inlineStr">
        <is>
          <t>—</t>
        </is>
      </c>
      <c r="F61" s="45" t="inlineStr"/>
    </row>
    <row r="62" ht="22" customHeight="1">
      <c r="A62" s="39" t="inlineStr">
        <is>
          <t>baseUnit (10=reps, 30=sec)</t>
        </is>
      </c>
      <c r="B62" s="70" t="n">
        <v>10</v>
      </c>
      <c r="C62" s="49" t="inlineStr">
        <is>
          <t>—</t>
        </is>
      </c>
      <c r="D62" s="49" t="inlineStr">
        <is>
          <t>—</t>
        </is>
      </c>
      <c r="E62" s="49" t="inlineStr">
        <is>
          <t>—</t>
        </is>
      </c>
      <c r="F62" s="42" t="inlineStr">
        <is>
          <t>10 si répétitions, 30 si secondes</t>
        </is>
      </c>
    </row>
    <row r="63" ht="22" customHeight="1">
      <c r="A63" s="43" t="inlineStr">
        <is>
          <t>weight (kg, 0 si sans poids)</t>
        </is>
      </c>
      <c r="B63" s="70" t="n">
        <v>0</v>
      </c>
      <c r="C63" s="48" t="inlineStr">
        <is>
          <t>kg</t>
        </is>
      </c>
      <c r="D63" s="48" t="inlineStr">
        <is>
          <t>—</t>
        </is>
      </c>
      <c r="E63" s="48" t="inlineStr">
        <is>
          <t>—</t>
        </is>
      </c>
      <c r="F63" s="45" t="inlineStr">
        <is>
          <t>Laisse 0 si exercice sans poids</t>
        </is>
      </c>
    </row>
    <row r="64" ht="22" customHeight="1">
      <c r="A64" s="39" t="inlineStr">
        <is>
          <t>equipBonus.force</t>
        </is>
      </c>
      <c r="B64" s="70" t="n">
        <v>5</v>
      </c>
      <c r="C64" s="49" t="inlineStr">
        <is>
          <t>pts</t>
        </is>
      </c>
      <c r="D64" s="49" t="inlineStr">
        <is>
          <t>—</t>
        </is>
      </c>
      <c r="E64" s="49" t="inlineStr">
        <is>
          <t>—</t>
        </is>
      </c>
      <c r="F64" s="42" t="inlineStr">
        <is>
          <t>Total force des équipements</t>
        </is>
      </c>
    </row>
    <row r="65" ht="22" customHeight="1">
      <c r="A65" s="43" t="inlineStr">
        <is>
          <t>matchupMult</t>
        </is>
      </c>
      <c r="B65" s="70" t="n">
        <v>1</v>
      </c>
      <c r="C65" s="48" t="inlineStr">
        <is>
          <t>×</t>
        </is>
      </c>
      <c r="D65" s="48" t="inlineStr">
        <is>
          <t>—</t>
        </is>
      </c>
      <c r="E65" s="48" t="inlineStr">
        <is>
          <t>—</t>
        </is>
      </c>
      <c r="F65" s="45" t="inlineStr">
        <is>
          <t>1.5 avantage / 1.0 neutre / 0.67 désavantage</t>
        </is>
      </c>
    </row>
    <row r="66" ht="22" customHeight="1">
      <c r="A66" s="39" t="inlineStr">
        <is>
          <t>elementMult</t>
        </is>
      </c>
      <c r="B66" s="70" t="n">
        <v>1</v>
      </c>
      <c r="C66" s="49" t="inlineStr">
        <is>
          <t>×</t>
        </is>
      </c>
      <c r="D66" s="49" t="inlineStr">
        <is>
          <t>—</t>
        </is>
      </c>
      <c r="E66" s="49" t="inlineStr">
        <is>
          <t>—</t>
        </is>
      </c>
      <c r="F66" s="42" t="inlineStr">
        <is>
          <t>1.25 / 1.0 / 0.75 / 1.3 (holy↔dark)</t>
        </is>
      </c>
    </row>
    <row r="67" ht="22" customHeight="1">
      <c r="A67" s="43" t="inlineStr">
        <is>
          <t>skillActive (0 ou 1)</t>
        </is>
      </c>
      <c r="B67" s="70" t="n">
        <v>0</v>
      </c>
      <c r="C67" s="48" t="inlineStr">
        <is>
          <t>—</t>
        </is>
      </c>
      <c r="D67" s="48" t="inlineStr">
        <is>
          <t>—</t>
        </is>
      </c>
      <c r="E67" s="48" t="inlineStr">
        <is>
          <t>—</t>
        </is>
      </c>
      <c r="F67" s="45" t="inlineStr">
        <is>
          <t>1 = skill activé ce tour (×2)</t>
        </is>
      </c>
    </row>
    <row r="68" ht="22" customHeight="1">
      <c r="A68" s="39" t="inlineStr">
        <is>
          <t>critActive (0 ou 1)</t>
        </is>
      </c>
      <c r="B68" s="70" t="n">
        <v>0</v>
      </c>
      <c r="C68" s="49" t="inlineStr">
        <is>
          <t>—</t>
        </is>
      </c>
      <c r="D68" s="49" t="inlineStr">
        <is>
          <t>—</t>
        </is>
      </c>
      <c r="E68" s="49" t="inlineStr">
        <is>
          <t>—</t>
        </is>
      </c>
      <c r="F68" s="42" t="inlineStr">
        <is>
          <t>1 = coup critique ce tour</t>
        </is>
      </c>
    </row>
    <row r="69" ht="22" customHeight="1">
      <c r="A69" s="43" t="inlineStr">
        <is>
          <t>critMult</t>
        </is>
      </c>
      <c r="B69" s="70" t="n">
        <v>1.5</v>
      </c>
      <c r="C69" s="48" t="inlineStr">
        <is>
          <t>×</t>
        </is>
      </c>
      <c r="D69" s="48" t="inlineStr">
        <is>
          <t>—</t>
        </is>
      </c>
      <c r="E69" s="48" t="inlineStr">
        <is>
          <t>—</t>
        </is>
      </c>
      <c r="F69" s="45" t="inlineStr">
        <is>
          <t>min(2.5, 1.4 + Speed×0.005). Ex: Speed=20 → 1.50</t>
        </is>
      </c>
    </row>
    <row r="70" ht="22" customHeight="1">
      <c r="A70" s="39" t="inlineStr">
        <is>
          <t>boss.defense</t>
        </is>
      </c>
      <c r="B70" s="70" t="n">
        <v>10</v>
      </c>
      <c r="C70" s="49" t="inlineStr">
        <is>
          <t>pts</t>
        </is>
      </c>
      <c r="D70" s="49" t="inlineStr">
        <is>
          <t>—</t>
        </is>
      </c>
      <c r="E70" s="49" t="inlineStr">
        <is>
          <t>—</t>
        </is>
      </c>
      <c r="F70" s="42" t="inlineStr">
        <is>
          <t>Défense du boss ciblé</t>
        </is>
      </c>
    </row>
    <row r="72" ht="20" customHeight="1">
      <c r="A72" s="109" t="inlineStr">
        <is>
          <t>─── Calcul intermédiaire (automatique) ───</t>
        </is>
      </c>
    </row>
    <row r="73" ht="22" customHeight="1">
      <c r="A73" s="40" t="inlineStr">
        <is>
          <t>volumeMult</t>
        </is>
      </c>
      <c r="B73" s="86">
        <f>B61/B62</f>
        <v/>
      </c>
      <c r="C73" s="49" t="inlineStr">
        <is>
          <t>×</t>
        </is>
      </c>
      <c r="D73" s="49" t="inlineStr">
        <is>
          <t>—</t>
        </is>
      </c>
      <c r="E73" s="49" t="inlineStr">
        <is>
          <t>—</t>
        </is>
      </c>
      <c r="F73" s="42" t="inlineStr">
        <is>
          <t>repsOrSec / baseUnit</t>
        </is>
      </c>
    </row>
    <row r="74" ht="22" customHeight="1">
      <c r="A74" s="44" t="inlineStr">
        <is>
          <t>base_dmg</t>
        </is>
      </c>
      <c r="B74" s="86">
        <f>(B58+B59)*B60*B73</f>
        <v/>
      </c>
      <c r="C74" s="48" t="inlineStr">
        <is>
          <t>pts</t>
        </is>
      </c>
      <c r="D74" s="48" t="inlineStr">
        <is>
          <t>—</t>
        </is>
      </c>
      <c r="E74" s="48" t="inlineStr">
        <is>
          <t>—</t>
        </is>
      </c>
      <c r="F74" s="45" t="inlineStr">
        <is>
          <t>(baseDamage+recordBonus)×sets×volumeMult</t>
        </is>
      </c>
    </row>
    <row r="75" ht="22" customHeight="1">
      <c r="A75" s="40" t="inlineStr">
        <is>
          <t>+ bonus poids</t>
        </is>
      </c>
      <c r="B75" s="86">
        <f>B64*0.3</f>
        <v/>
      </c>
      <c r="C75" s="49" t="inlineStr">
        <is>
          <t>pts</t>
        </is>
      </c>
      <c r="D75" s="49" t="inlineStr">
        <is>
          <t>—</t>
        </is>
      </c>
      <c r="E75" s="49" t="inlineStr">
        <is>
          <t>—</t>
        </is>
      </c>
      <c r="F75" s="42" t="inlineStr">
        <is>
          <t>weight × 0.3 (si hasWeight)</t>
        </is>
      </c>
    </row>
    <row r="76" ht="22" customHeight="1">
      <c r="A76" s="44" t="inlineStr">
        <is>
          <t>forceMult</t>
        </is>
      </c>
      <c r="B76" s="86">
        <f>1+B65/200</f>
        <v/>
      </c>
      <c r="C76" s="48" t="inlineStr">
        <is>
          <t>×</t>
        </is>
      </c>
      <c r="D76" s="48" t="inlineStr">
        <is>
          <t>—</t>
        </is>
      </c>
      <c r="E76" s="48" t="inlineStr">
        <is>
          <t>—</t>
        </is>
      </c>
      <c r="F76" s="45" t="inlineStr">
        <is>
          <t>1 + equipBonus.force / 200</t>
        </is>
      </c>
    </row>
    <row r="77" ht="22" customHeight="1">
      <c r="A77" s="40" t="inlineStr">
        <is>
          <t>defReduction</t>
        </is>
      </c>
      <c r="B77" s="86">
        <f>100/(100+B70)</f>
        <v/>
      </c>
      <c r="C77" s="49" t="inlineStr">
        <is>
          <t>×</t>
        </is>
      </c>
      <c r="D77" s="49" t="inlineStr">
        <is>
          <t>—</t>
        </is>
      </c>
      <c r="E77" s="49" t="inlineStr">
        <is>
          <t>—</t>
        </is>
      </c>
      <c r="F77" s="42" t="inlineStr">
        <is>
          <t>100 / (100 + boss.defense)</t>
        </is>
      </c>
    </row>
    <row r="78" ht="22" customHeight="1">
      <c r="A78" s="44" t="inlineStr">
        <is>
          <t>skillMult</t>
        </is>
      </c>
      <c r="B78" s="86">
        <f>IF(B67=1,2,1)</f>
        <v/>
      </c>
      <c r="C78" s="48" t="inlineStr">
        <is>
          <t>×</t>
        </is>
      </c>
      <c r="D78" s="48" t="inlineStr">
        <is>
          <t>—</t>
        </is>
      </c>
      <c r="E78" s="48" t="inlineStr">
        <is>
          <t>—</t>
        </is>
      </c>
      <c r="F78" s="45" t="inlineStr">
        <is>
          <t>×2 si skill activé</t>
        </is>
      </c>
    </row>
    <row r="79" ht="22" customHeight="1">
      <c r="A79" s="40" t="inlineStr">
        <is>
          <t>critMult_eff</t>
        </is>
      </c>
      <c r="B79" s="86">
        <f>IF(B68=1,B69,1)</f>
        <v/>
      </c>
      <c r="C79" s="49" t="inlineStr">
        <is>
          <t>×</t>
        </is>
      </c>
      <c r="D79" s="49" t="inlineStr">
        <is>
          <t>—</t>
        </is>
      </c>
      <c r="E79" s="49" t="inlineStr">
        <is>
          <t>—</t>
        </is>
      </c>
      <c r="F79" s="42" t="inlineStr">
        <is>
          <t>critMult effectif ce tour</t>
        </is>
      </c>
    </row>
    <row r="81" ht="30" customHeight="1">
      <c r="A81" s="110" t="inlineStr">
        <is>
          <t>🎯  DÉGÂTS FINAUX (arrondi, min 1)</t>
        </is>
      </c>
      <c r="B81" s="83">
        <f>MAX(1,ROUND((B74+B75)*B76*B65*B66*B77*B78*B79,0))</f>
        <v/>
      </c>
      <c r="C81" s="95" t="inlineStr">
        <is>
          <t>pts</t>
        </is>
      </c>
      <c r="D81" s="111" t="inlineStr">
        <is>
          <t>← Ce chiffre change automatiquement quand tu modifies les valeurs jaunes</t>
        </is>
      </c>
    </row>
  </sheetData>
  <mergeCells count="11">
    <mergeCell ref="A38:F38"/>
    <mergeCell ref="A2:F2"/>
    <mergeCell ref="D81:F81"/>
    <mergeCell ref="A19:F19"/>
    <mergeCell ref="A1:F1"/>
    <mergeCell ref="A32:F32"/>
    <mergeCell ref="A81"/>
    <mergeCell ref="A56:F56"/>
    <mergeCell ref="A4:F4"/>
    <mergeCell ref="A72:F72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2026-05-12T07:33:45Z</dcterms:created>
  <dcterms:modified xmlns:dcterms="http://purl.org/dc/terms/" xmlns:xsi="http://www.w3.org/2001/XMLSchema-instance" xsi:type="dcterms:W3CDTF">2026-05-12T08:09:11Z</dcterms:modified>
</cp:coreProperties>
</file>